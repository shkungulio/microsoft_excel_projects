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ByArrayFormula" sheetId="2" r:id="rId2"/>
    <sheet name="ByRegularFormul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6" i="1" l="1"/>
  <c r="D69" i="1"/>
  <c r="D52" i="1"/>
  <c r="D41" i="1"/>
  <c r="D18" i="1"/>
  <c r="E3" i="3"/>
  <c r="F3" i="3"/>
  <c r="G3" i="3"/>
  <c r="H3" i="3"/>
  <c r="I3" i="3"/>
  <c r="J3" i="3"/>
  <c r="K3" i="3"/>
  <c r="L3" i="3"/>
  <c r="M3" i="3"/>
  <c r="N3" i="3"/>
  <c r="O3" i="3"/>
  <c r="E4" i="3"/>
  <c r="F4" i="3"/>
  <c r="G4" i="3"/>
  <c r="H4" i="3"/>
  <c r="I4" i="3"/>
  <c r="J4" i="3"/>
  <c r="K4" i="3"/>
  <c r="L4" i="3"/>
  <c r="M4" i="3"/>
  <c r="N4" i="3"/>
  <c r="O4" i="3"/>
  <c r="E5" i="3"/>
  <c r="F5" i="3"/>
  <c r="G5" i="3"/>
  <c r="H5" i="3"/>
  <c r="I5" i="3"/>
  <c r="J5" i="3"/>
  <c r="K5" i="3"/>
  <c r="L5" i="3"/>
  <c r="M5" i="3"/>
  <c r="N5" i="3"/>
  <c r="O5" i="3"/>
  <c r="E6" i="3"/>
  <c r="F6" i="3"/>
  <c r="G6" i="3"/>
  <c r="H6" i="3"/>
  <c r="I6" i="3"/>
  <c r="J6" i="3"/>
  <c r="K6" i="3"/>
  <c r="L6" i="3"/>
  <c r="M6" i="3"/>
  <c r="N6" i="3"/>
  <c r="O6" i="3"/>
  <c r="E7" i="3"/>
  <c r="F7" i="3"/>
  <c r="G7" i="3"/>
  <c r="H7" i="3"/>
  <c r="I7" i="3"/>
  <c r="J7" i="3"/>
  <c r="K7" i="3"/>
  <c r="L7" i="3"/>
  <c r="M7" i="3"/>
  <c r="N7" i="3"/>
  <c r="O7" i="3"/>
  <c r="E8" i="3"/>
  <c r="F8" i="3"/>
  <c r="G8" i="3"/>
  <c r="H8" i="3"/>
  <c r="I8" i="3"/>
  <c r="J8" i="3"/>
  <c r="K8" i="3"/>
  <c r="L8" i="3"/>
  <c r="M8" i="3"/>
  <c r="N8" i="3"/>
  <c r="O8" i="3"/>
  <c r="E9" i="3"/>
  <c r="F9" i="3"/>
  <c r="G9" i="3"/>
  <c r="H9" i="3"/>
  <c r="I9" i="3"/>
  <c r="J9" i="3"/>
  <c r="K9" i="3"/>
  <c r="L9" i="3"/>
  <c r="M9" i="3"/>
  <c r="N9" i="3"/>
  <c r="O9" i="3"/>
  <c r="E10" i="3"/>
  <c r="F10" i="3"/>
  <c r="G10" i="3"/>
  <c r="H10" i="3"/>
  <c r="I10" i="3"/>
  <c r="J10" i="3"/>
  <c r="K10" i="3"/>
  <c r="L10" i="3"/>
  <c r="M10" i="3"/>
  <c r="N10" i="3"/>
  <c r="O10" i="3"/>
  <c r="E11" i="3"/>
  <c r="F11" i="3"/>
  <c r="G11" i="3"/>
  <c r="H11" i="3"/>
  <c r="I11" i="3"/>
  <c r="J11" i="3"/>
  <c r="K11" i="3"/>
  <c r="L11" i="3"/>
  <c r="M11" i="3"/>
  <c r="N11" i="3"/>
  <c r="O11" i="3"/>
  <c r="E12" i="3"/>
  <c r="F12" i="3"/>
  <c r="G12" i="3"/>
  <c r="H12" i="3"/>
  <c r="I12" i="3"/>
  <c r="J12" i="3"/>
  <c r="K12" i="3"/>
  <c r="L12" i="3"/>
  <c r="M12" i="3"/>
  <c r="N12" i="3"/>
  <c r="O12" i="3"/>
  <c r="E13" i="3"/>
  <c r="F13" i="3"/>
  <c r="G13" i="3"/>
  <c r="H13" i="3"/>
  <c r="I13" i="3"/>
  <c r="J13" i="3"/>
  <c r="K13" i="3"/>
  <c r="L13" i="3"/>
  <c r="M13" i="3"/>
  <c r="N13" i="3"/>
  <c r="O13" i="3"/>
  <c r="E14" i="3"/>
  <c r="F14" i="3"/>
  <c r="G14" i="3"/>
  <c r="H14" i="3"/>
  <c r="I14" i="3"/>
  <c r="J14" i="3"/>
  <c r="K14" i="3"/>
  <c r="L14" i="3"/>
  <c r="M14" i="3"/>
  <c r="N14" i="3"/>
  <c r="O14" i="3"/>
  <c r="F2" i="3"/>
  <c r="G2" i="3"/>
  <c r="H2" i="3"/>
  <c r="I2" i="3"/>
  <c r="J2" i="3"/>
  <c r="K2" i="3"/>
  <c r="L2" i="3"/>
  <c r="M2" i="3"/>
  <c r="N2" i="3"/>
  <c r="O2" i="3"/>
  <c r="E2" i="3"/>
  <c r="D1" i="3"/>
  <c r="B5" i="3"/>
  <c r="D1" i="2" l="1"/>
  <c r="B5" i="2"/>
</calcChain>
</file>

<file path=xl/sharedStrings.xml><?xml version="1.0" encoding="utf-8"?>
<sst xmlns="http://schemas.openxmlformats.org/spreadsheetml/2006/main" count="147" uniqueCount="22">
  <si>
    <t>Agent</t>
  </si>
  <si>
    <t>Product</t>
  </si>
  <si>
    <t>Nancy</t>
  </si>
  <si>
    <t>p123</t>
  </si>
  <si>
    <t>Rose</t>
  </si>
  <si>
    <t>p456</t>
  </si>
  <si>
    <t>Rachel</t>
  </si>
  <si>
    <t>p987</t>
  </si>
  <si>
    <t>Sales</t>
  </si>
  <si>
    <t>Quarter</t>
  </si>
  <si>
    <t>Jack</t>
  </si>
  <si>
    <t>p824</t>
  </si>
  <si>
    <t>Grand Total</t>
  </si>
  <si>
    <t>Total Cost</t>
  </si>
  <si>
    <t>Downpay</t>
  </si>
  <si>
    <t>Npers</t>
  </si>
  <si>
    <t>Interest Rate</t>
  </si>
  <si>
    <t>Monthly Pay</t>
  </si>
  <si>
    <t>Jack Total</t>
  </si>
  <si>
    <t>Nancy Total</t>
  </si>
  <si>
    <t>Rachel Total</t>
  </si>
  <si>
    <t>Rose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</si>
</sst>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8" formatCode="&quot;$&quot;#,##0.00_);[Red]\(&quot;$&quot;#,##0.00\)"/>
    <numFmt numFmtId="164" formatCode="0.0%"/>
    <numFmt numFmtId="165" formatCode="&quot;$&quot;#,##0.0_);[Red]\(&quot;$&quot;#,##0.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6" fontId="0" fillId="0" borderId="0" xfId="0" applyNumberFormat="1"/>
    <xf numFmtId="10" fontId="0" fillId="0" borderId="0" xfId="0" applyNumberFormat="1"/>
    <xf numFmtId="8" fontId="0" fillId="0" borderId="0" xfId="0" applyNumberFormat="1"/>
    <xf numFmtId="0" fontId="3" fillId="0" borderId="0" xfId="0" applyFont="1"/>
    <xf numFmtId="164" fontId="3" fillId="0" borderId="0" xfId="1" applyNumberFormat="1" applyFont="1"/>
    <xf numFmtId="8" fontId="3" fillId="0" borderId="0" xfId="0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workbookViewId="0">
      <selection activeCell="I79" sqref="I79"/>
    </sheetView>
  </sheetViews>
  <sheetFormatPr defaultRowHeight="15" outlineLevelRow="2" x14ac:dyDescent="0.25"/>
  <cols>
    <col min="1" max="1" width="6.85546875" customWidth="1"/>
    <col min="2" max="2" width="8" customWidth="1"/>
    <col min="3" max="3" width="10.42578125" customWidth="1"/>
    <col min="4" max="4" width="7.85546875" customWidth="1"/>
  </cols>
  <sheetData>
    <row r="1" spans="1:4" x14ac:dyDescent="0.25">
      <c r="A1" t="s">
        <v>0</v>
      </c>
      <c r="B1" t="s">
        <v>9</v>
      </c>
      <c r="C1" t="s">
        <v>1</v>
      </c>
      <c r="D1" t="s">
        <v>8</v>
      </c>
    </row>
    <row r="2" spans="1:4" hidden="1" outlineLevel="2" x14ac:dyDescent="0.25">
      <c r="A2" t="s">
        <v>10</v>
      </c>
      <c r="B2">
        <v>1</v>
      </c>
      <c r="C2" t="s">
        <v>3</v>
      </c>
      <c r="D2">
        <v>11869</v>
      </c>
    </row>
    <row r="3" spans="1:4" hidden="1" outlineLevel="2" x14ac:dyDescent="0.25">
      <c r="A3" t="s">
        <v>10</v>
      </c>
      <c r="B3">
        <v>2</v>
      </c>
      <c r="C3" t="s">
        <v>3</v>
      </c>
      <c r="D3">
        <v>3691</v>
      </c>
    </row>
    <row r="4" spans="1:4" hidden="1" outlineLevel="2" x14ac:dyDescent="0.25">
      <c r="A4" t="s">
        <v>10</v>
      </c>
      <c r="B4">
        <v>3</v>
      </c>
      <c r="C4" t="s">
        <v>5</v>
      </c>
      <c r="D4">
        <v>6082</v>
      </c>
    </row>
    <row r="5" spans="1:4" hidden="1" outlineLevel="2" x14ac:dyDescent="0.25">
      <c r="A5" t="s">
        <v>10</v>
      </c>
      <c r="B5">
        <v>3</v>
      </c>
      <c r="C5" t="s">
        <v>5</v>
      </c>
      <c r="D5">
        <v>6108</v>
      </c>
    </row>
    <row r="6" spans="1:4" hidden="1" outlineLevel="2" x14ac:dyDescent="0.25">
      <c r="A6" t="s">
        <v>10</v>
      </c>
      <c r="B6">
        <v>3</v>
      </c>
      <c r="C6" t="s">
        <v>5</v>
      </c>
      <c r="D6">
        <v>5673</v>
      </c>
    </row>
    <row r="7" spans="1:4" ht="13.5" hidden="1" customHeight="1" outlineLevel="2" x14ac:dyDescent="0.25">
      <c r="A7" t="s">
        <v>10</v>
      </c>
      <c r="B7">
        <v>1</v>
      </c>
      <c r="C7" t="s">
        <v>5</v>
      </c>
      <c r="D7">
        <v>11557</v>
      </c>
    </row>
    <row r="8" spans="1:4" ht="13.5" hidden="1" customHeight="1" outlineLevel="2" x14ac:dyDescent="0.25">
      <c r="A8" t="s">
        <v>10</v>
      </c>
      <c r="B8">
        <v>1</v>
      </c>
      <c r="C8" t="s">
        <v>5</v>
      </c>
      <c r="D8">
        <v>10488</v>
      </c>
    </row>
    <row r="9" spans="1:4" ht="13.5" hidden="1" customHeight="1" outlineLevel="2" x14ac:dyDescent="0.25">
      <c r="A9" t="s">
        <v>10</v>
      </c>
      <c r="B9">
        <v>4</v>
      </c>
      <c r="C9" t="s">
        <v>5</v>
      </c>
      <c r="D9">
        <v>6482</v>
      </c>
    </row>
    <row r="10" spans="1:4" ht="13.5" hidden="1" customHeight="1" outlineLevel="2" x14ac:dyDescent="0.25">
      <c r="A10" t="s">
        <v>10</v>
      </c>
      <c r="B10">
        <v>4</v>
      </c>
      <c r="C10" t="s">
        <v>5</v>
      </c>
      <c r="D10">
        <v>8618</v>
      </c>
    </row>
    <row r="11" spans="1:4" ht="13.5" hidden="1" customHeight="1" outlineLevel="2" x14ac:dyDescent="0.25">
      <c r="A11" t="s">
        <v>10</v>
      </c>
      <c r="B11">
        <v>4</v>
      </c>
      <c r="C11" t="s">
        <v>11</v>
      </c>
      <c r="D11">
        <v>1093</v>
      </c>
    </row>
    <row r="12" spans="1:4" ht="13.5" hidden="1" customHeight="1" outlineLevel="2" x14ac:dyDescent="0.25">
      <c r="A12" t="s">
        <v>10</v>
      </c>
      <c r="B12">
        <v>4</v>
      </c>
      <c r="C12" t="s">
        <v>11</v>
      </c>
      <c r="D12">
        <v>1601</v>
      </c>
    </row>
    <row r="13" spans="1:4" ht="13.5" hidden="1" customHeight="1" outlineLevel="2" x14ac:dyDescent="0.25">
      <c r="A13" t="s">
        <v>10</v>
      </c>
      <c r="B13">
        <v>3</v>
      </c>
      <c r="C13" t="s">
        <v>11</v>
      </c>
      <c r="D13">
        <v>1603</v>
      </c>
    </row>
    <row r="14" spans="1:4" hidden="1" outlineLevel="2" x14ac:dyDescent="0.25">
      <c r="A14" t="s">
        <v>10</v>
      </c>
      <c r="B14">
        <v>1</v>
      </c>
      <c r="C14" t="s">
        <v>11</v>
      </c>
      <c r="D14">
        <v>7670</v>
      </c>
    </row>
    <row r="15" spans="1:4" hidden="1" outlineLevel="2" x14ac:dyDescent="0.25">
      <c r="A15" t="s">
        <v>10</v>
      </c>
      <c r="B15">
        <v>2</v>
      </c>
      <c r="C15" t="s">
        <v>11</v>
      </c>
      <c r="D15">
        <v>10672</v>
      </c>
    </row>
    <row r="16" spans="1:4" hidden="1" outlineLevel="2" x14ac:dyDescent="0.25">
      <c r="A16" t="s">
        <v>10</v>
      </c>
      <c r="B16">
        <v>2</v>
      </c>
      <c r="C16" t="s">
        <v>7</v>
      </c>
      <c r="D16">
        <v>1081</v>
      </c>
    </row>
    <row r="17" spans="1:4" hidden="1" outlineLevel="2" x14ac:dyDescent="0.25">
      <c r="A17" t="s">
        <v>10</v>
      </c>
      <c r="B17">
        <v>3</v>
      </c>
      <c r="C17" t="s">
        <v>7</v>
      </c>
      <c r="D17">
        <v>4218</v>
      </c>
    </row>
    <row r="18" spans="1:4" outlineLevel="1" collapsed="1" x14ac:dyDescent="0.25">
      <c r="A18" s="1" t="s">
        <v>18</v>
      </c>
      <c r="D18">
        <f>SUBTOTAL(9,D2:D17)</f>
        <v>98506</v>
      </c>
    </row>
    <row r="19" spans="1:4" hidden="1" outlineLevel="2" x14ac:dyDescent="0.25">
      <c r="A19" t="s">
        <v>2</v>
      </c>
      <c r="B19">
        <v>4</v>
      </c>
      <c r="C19" t="s">
        <v>3</v>
      </c>
      <c r="D19">
        <v>8607</v>
      </c>
    </row>
    <row r="20" spans="1:4" hidden="1" outlineLevel="2" x14ac:dyDescent="0.25">
      <c r="A20" t="s">
        <v>2</v>
      </c>
      <c r="B20">
        <v>4</v>
      </c>
      <c r="C20" t="s">
        <v>3</v>
      </c>
      <c r="D20">
        <v>5122</v>
      </c>
    </row>
    <row r="21" spans="1:4" hidden="1" outlineLevel="2" x14ac:dyDescent="0.25">
      <c r="A21" t="s">
        <v>2</v>
      </c>
      <c r="B21">
        <v>2</v>
      </c>
      <c r="C21" t="s">
        <v>3</v>
      </c>
      <c r="D21">
        <v>2858</v>
      </c>
    </row>
    <row r="22" spans="1:4" hidden="1" outlineLevel="2" x14ac:dyDescent="0.25">
      <c r="A22" t="s">
        <v>2</v>
      </c>
      <c r="B22">
        <v>1</v>
      </c>
      <c r="C22" t="s">
        <v>3</v>
      </c>
      <c r="D22">
        <v>11805</v>
      </c>
    </row>
    <row r="23" spans="1:4" hidden="1" outlineLevel="2" x14ac:dyDescent="0.25">
      <c r="A23" t="s">
        <v>2</v>
      </c>
      <c r="B23">
        <v>3</v>
      </c>
      <c r="C23" t="s">
        <v>3</v>
      </c>
      <c r="D23">
        <v>7750</v>
      </c>
    </row>
    <row r="24" spans="1:4" hidden="1" outlineLevel="2" x14ac:dyDescent="0.25">
      <c r="A24" t="s">
        <v>2</v>
      </c>
      <c r="B24">
        <v>4</v>
      </c>
      <c r="C24" t="s">
        <v>5</v>
      </c>
      <c r="D24">
        <v>3589</v>
      </c>
    </row>
    <row r="25" spans="1:4" hidden="1" outlineLevel="2" x14ac:dyDescent="0.25">
      <c r="A25" t="s">
        <v>2</v>
      </c>
      <c r="B25">
        <v>4</v>
      </c>
      <c r="C25" t="s">
        <v>5</v>
      </c>
      <c r="D25">
        <v>4477</v>
      </c>
    </row>
    <row r="26" spans="1:4" hidden="1" outlineLevel="2" x14ac:dyDescent="0.25">
      <c r="A26" t="s">
        <v>2</v>
      </c>
      <c r="B26">
        <v>1</v>
      </c>
      <c r="C26" t="s">
        <v>5</v>
      </c>
      <c r="D26">
        <v>11373</v>
      </c>
    </row>
    <row r="27" spans="1:4" hidden="1" outlineLevel="2" x14ac:dyDescent="0.25">
      <c r="A27" t="s">
        <v>2</v>
      </c>
      <c r="B27">
        <v>4</v>
      </c>
      <c r="C27" t="s">
        <v>5</v>
      </c>
      <c r="D27">
        <v>2267</v>
      </c>
    </row>
    <row r="28" spans="1:4" hidden="1" outlineLevel="2" x14ac:dyDescent="0.25">
      <c r="A28" t="s">
        <v>2</v>
      </c>
      <c r="B28">
        <v>4</v>
      </c>
      <c r="C28" t="s">
        <v>5</v>
      </c>
      <c r="D28">
        <v>9494</v>
      </c>
    </row>
    <row r="29" spans="1:4" hidden="1" outlineLevel="2" x14ac:dyDescent="0.25">
      <c r="A29" t="s">
        <v>2</v>
      </c>
      <c r="B29">
        <v>3</v>
      </c>
      <c r="C29" t="s">
        <v>5</v>
      </c>
      <c r="D29">
        <v>7484</v>
      </c>
    </row>
    <row r="30" spans="1:4" hidden="1" outlineLevel="2" x14ac:dyDescent="0.25">
      <c r="A30" t="s">
        <v>2</v>
      </c>
      <c r="B30">
        <v>3</v>
      </c>
      <c r="C30" t="s">
        <v>5</v>
      </c>
      <c r="D30">
        <v>11185</v>
      </c>
    </row>
    <row r="31" spans="1:4" hidden="1" outlineLevel="2" x14ac:dyDescent="0.25">
      <c r="A31" t="s">
        <v>2</v>
      </c>
      <c r="B31">
        <v>3</v>
      </c>
      <c r="C31" t="s">
        <v>11</v>
      </c>
      <c r="D31">
        <v>1215</v>
      </c>
    </row>
    <row r="32" spans="1:4" hidden="1" outlineLevel="2" x14ac:dyDescent="0.25">
      <c r="A32" t="s">
        <v>2</v>
      </c>
      <c r="B32">
        <v>3</v>
      </c>
      <c r="C32" t="s">
        <v>11</v>
      </c>
      <c r="D32">
        <v>7692</v>
      </c>
    </row>
    <row r="33" spans="1:4" hidden="1" outlineLevel="2" x14ac:dyDescent="0.25">
      <c r="A33" t="s">
        <v>2</v>
      </c>
      <c r="B33">
        <v>2</v>
      </c>
      <c r="C33" t="s">
        <v>7</v>
      </c>
      <c r="D33">
        <v>1912</v>
      </c>
    </row>
    <row r="34" spans="1:4" hidden="1" outlineLevel="2" x14ac:dyDescent="0.25">
      <c r="A34" t="s">
        <v>2</v>
      </c>
      <c r="B34">
        <v>4</v>
      </c>
      <c r="C34" t="s">
        <v>7</v>
      </c>
      <c r="D34">
        <v>10142</v>
      </c>
    </row>
    <row r="35" spans="1:4" hidden="1" outlineLevel="2" x14ac:dyDescent="0.25">
      <c r="A35" t="s">
        <v>2</v>
      </c>
      <c r="B35">
        <v>3</v>
      </c>
      <c r="C35" t="s">
        <v>7</v>
      </c>
      <c r="D35">
        <v>7201</v>
      </c>
    </row>
    <row r="36" spans="1:4" hidden="1" outlineLevel="2" x14ac:dyDescent="0.25">
      <c r="A36" t="s">
        <v>2</v>
      </c>
      <c r="B36">
        <v>1</v>
      </c>
      <c r="C36" t="s">
        <v>7</v>
      </c>
      <c r="D36">
        <v>7536</v>
      </c>
    </row>
    <row r="37" spans="1:4" hidden="1" outlineLevel="2" x14ac:dyDescent="0.25">
      <c r="A37" t="s">
        <v>2</v>
      </c>
      <c r="B37">
        <v>1</v>
      </c>
      <c r="C37" t="s">
        <v>7</v>
      </c>
      <c r="D37">
        <v>11083</v>
      </c>
    </row>
    <row r="38" spans="1:4" hidden="1" outlineLevel="2" x14ac:dyDescent="0.25">
      <c r="A38" t="s">
        <v>2</v>
      </c>
      <c r="B38">
        <v>3</v>
      </c>
      <c r="C38" t="s">
        <v>7</v>
      </c>
      <c r="D38">
        <v>6393</v>
      </c>
    </row>
    <row r="39" spans="1:4" hidden="1" outlineLevel="2" x14ac:dyDescent="0.25">
      <c r="A39" t="s">
        <v>2</v>
      </c>
      <c r="B39">
        <v>3</v>
      </c>
      <c r="C39" t="s">
        <v>7</v>
      </c>
      <c r="D39">
        <v>8557</v>
      </c>
    </row>
    <row r="40" spans="1:4" hidden="1" outlineLevel="2" x14ac:dyDescent="0.25">
      <c r="A40" t="s">
        <v>2</v>
      </c>
      <c r="B40">
        <v>1</v>
      </c>
      <c r="C40" t="s">
        <v>7</v>
      </c>
      <c r="D40">
        <v>1764</v>
      </c>
    </row>
    <row r="41" spans="1:4" outlineLevel="1" collapsed="1" x14ac:dyDescent="0.25">
      <c r="A41" s="1" t="s">
        <v>19</v>
      </c>
      <c r="D41">
        <f>SUBTOTAL(9,D19:D40)</f>
        <v>149506</v>
      </c>
    </row>
    <row r="42" spans="1:4" hidden="1" outlineLevel="2" x14ac:dyDescent="0.25">
      <c r="A42" t="s">
        <v>6</v>
      </c>
      <c r="B42">
        <v>2</v>
      </c>
      <c r="C42" t="s">
        <v>3</v>
      </c>
      <c r="D42">
        <v>8950</v>
      </c>
    </row>
    <row r="43" spans="1:4" hidden="1" outlineLevel="2" x14ac:dyDescent="0.25">
      <c r="A43" t="s">
        <v>6</v>
      </c>
      <c r="B43">
        <v>4</v>
      </c>
      <c r="C43" t="s">
        <v>3</v>
      </c>
      <c r="D43">
        <v>6930</v>
      </c>
    </row>
    <row r="44" spans="1:4" hidden="1" outlineLevel="2" x14ac:dyDescent="0.25">
      <c r="A44" t="s">
        <v>6</v>
      </c>
      <c r="B44">
        <v>2</v>
      </c>
      <c r="C44" t="s">
        <v>3</v>
      </c>
      <c r="D44">
        <v>7014</v>
      </c>
    </row>
    <row r="45" spans="1:4" hidden="1" outlineLevel="2" x14ac:dyDescent="0.25">
      <c r="A45" t="s">
        <v>6</v>
      </c>
      <c r="B45">
        <v>3</v>
      </c>
      <c r="C45" t="s">
        <v>5</v>
      </c>
      <c r="D45">
        <v>721</v>
      </c>
    </row>
    <row r="46" spans="1:4" hidden="1" outlineLevel="2" x14ac:dyDescent="0.25">
      <c r="A46" t="s">
        <v>6</v>
      </c>
      <c r="B46">
        <v>3</v>
      </c>
      <c r="C46" t="s">
        <v>5</v>
      </c>
      <c r="D46">
        <v>3349</v>
      </c>
    </row>
    <row r="47" spans="1:4" hidden="1" outlineLevel="2" x14ac:dyDescent="0.25">
      <c r="A47" t="s">
        <v>6</v>
      </c>
      <c r="B47">
        <v>4</v>
      </c>
      <c r="C47" t="s">
        <v>5</v>
      </c>
      <c r="D47">
        <v>8318</v>
      </c>
    </row>
    <row r="48" spans="1:4" hidden="1" outlineLevel="2" x14ac:dyDescent="0.25">
      <c r="A48" t="s">
        <v>6</v>
      </c>
      <c r="B48">
        <v>2</v>
      </c>
      <c r="C48" t="s">
        <v>11</v>
      </c>
      <c r="D48">
        <v>7182</v>
      </c>
    </row>
    <row r="49" spans="1:4" hidden="1" outlineLevel="2" x14ac:dyDescent="0.25">
      <c r="A49" t="s">
        <v>6</v>
      </c>
      <c r="B49">
        <v>4</v>
      </c>
      <c r="C49" t="s">
        <v>11</v>
      </c>
      <c r="D49">
        <v>6359</v>
      </c>
    </row>
    <row r="50" spans="1:4" hidden="1" outlineLevel="2" x14ac:dyDescent="0.25">
      <c r="A50" t="s">
        <v>6</v>
      </c>
      <c r="B50">
        <v>2</v>
      </c>
      <c r="C50" t="s">
        <v>11</v>
      </c>
      <c r="D50">
        <v>5216</v>
      </c>
    </row>
    <row r="51" spans="1:4" hidden="1" outlineLevel="2" x14ac:dyDescent="0.25">
      <c r="A51" t="s">
        <v>6</v>
      </c>
      <c r="B51">
        <v>1</v>
      </c>
      <c r="C51" t="s">
        <v>7</v>
      </c>
      <c r="D51">
        <v>11669</v>
      </c>
    </row>
    <row r="52" spans="1:4" outlineLevel="1" collapsed="1" x14ac:dyDescent="0.25">
      <c r="A52" s="1" t="s">
        <v>20</v>
      </c>
      <c r="D52">
        <f>SUBTOTAL(9,D42:D51)</f>
        <v>65708</v>
      </c>
    </row>
    <row r="53" spans="1:4" hidden="1" outlineLevel="2" x14ac:dyDescent="0.25">
      <c r="A53" t="s">
        <v>4</v>
      </c>
      <c r="B53">
        <v>4</v>
      </c>
      <c r="C53" t="s">
        <v>3</v>
      </c>
      <c r="D53">
        <v>5049</v>
      </c>
    </row>
    <row r="54" spans="1:4" hidden="1" outlineLevel="2" x14ac:dyDescent="0.25">
      <c r="A54" t="s">
        <v>4</v>
      </c>
      <c r="B54">
        <v>1</v>
      </c>
      <c r="C54" t="s">
        <v>3</v>
      </c>
      <c r="D54">
        <v>9742</v>
      </c>
    </row>
    <row r="55" spans="1:4" hidden="1" outlineLevel="2" x14ac:dyDescent="0.25">
      <c r="A55" t="s">
        <v>4</v>
      </c>
      <c r="B55">
        <v>3</v>
      </c>
      <c r="C55" t="s">
        <v>3</v>
      </c>
      <c r="D55">
        <v>2819</v>
      </c>
    </row>
    <row r="56" spans="1:4" hidden="1" outlineLevel="2" x14ac:dyDescent="0.25">
      <c r="A56" t="s">
        <v>4</v>
      </c>
      <c r="B56">
        <v>3</v>
      </c>
      <c r="C56" t="s">
        <v>3</v>
      </c>
      <c r="D56">
        <v>1668</v>
      </c>
    </row>
    <row r="57" spans="1:4" hidden="1" outlineLevel="2" x14ac:dyDescent="0.25">
      <c r="A57" t="s">
        <v>4</v>
      </c>
      <c r="B57">
        <v>4</v>
      </c>
      <c r="C57" t="s">
        <v>3</v>
      </c>
      <c r="D57">
        <v>2950</v>
      </c>
    </row>
    <row r="58" spans="1:4" hidden="1" outlineLevel="2" x14ac:dyDescent="0.25">
      <c r="A58" t="s">
        <v>4</v>
      </c>
      <c r="B58">
        <v>2</v>
      </c>
      <c r="C58" t="s">
        <v>5</v>
      </c>
      <c r="D58">
        <v>10127</v>
      </c>
    </row>
    <row r="59" spans="1:4" hidden="1" outlineLevel="2" x14ac:dyDescent="0.25">
      <c r="A59" t="s">
        <v>4</v>
      </c>
      <c r="B59">
        <v>4</v>
      </c>
      <c r="C59" t="s">
        <v>5</v>
      </c>
      <c r="D59">
        <v>7858</v>
      </c>
    </row>
    <row r="60" spans="1:4" hidden="1" outlineLevel="2" x14ac:dyDescent="0.25">
      <c r="A60" t="s">
        <v>4</v>
      </c>
      <c r="B60">
        <v>4</v>
      </c>
      <c r="C60" t="s">
        <v>5</v>
      </c>
      <c r="D60">
        <v>2549</v>
      </c>
    </row>
    <row r="61" spans="1:4" hidden="1" outlineLevel="2" x14ac:dyDescent="0.25">
      <c r="A61" t="s">
        <v>4</v>
      </c>
      <c r="B61">
        <v>3</v>
      </c>
      <c r="C61" t="s">
        <v>11</v>
      </c>
      <c r="D61">
        <v>7062</v>
      </c>
    </row>
    <row r="62" spans="1:4" hidden="1" outlineLevel="2" x14ac:dyDescent="0.25">
      <c r="A62" t="s">
        <v>4</v>
      </c>
      <c r="B62">
        <v>2</v>
      </c>
      <c r="C62" t="s">
        <v>11</v>
      </c>
      <c r="D62">
        <v>10055</v>
      </c>
    </row>
    <row r="63" spans="1:4" hidden="1" outlineLevel="2" x14ac:dyDescent="0.25">
      <c r="A63" t="s">
        <v>4</v>
      </c>
      <c r="B63">
        <v>3</v>
      </c>
      <c r="C63" t="s">
        <v>11</v>
      </c>
      <c r="D63">
        <v>2112</v>
      </c>
    </row>
    <row r="64" spans="1:4" hidden="1" outlineLevel="2" x14ac:dyDescent="0.25">
      <c r="A64" t="s">
        <v>4</v>
      </c>
      <c r="B64">
        <v>4</v>
      </c>
      <c r="C64" t="s">
        <v>11</v>
      </c>
      <c r="D64">
        <v>1904</v>
      </c>
    </row>
    <row r="65" spans="1:4" hidden="1" outlineLevel="2" x14ac:dyDescent="0.25">
      <c r="A65" t="s">
        <v>4</v>
      </c>
      <c r="B65">
        <v>1</v>
      </c>
      <c r="C65" t="s">
        <v>7</v>
      </c>
      <c r="D65">
        <v>11702</v>
      </c>
    </row>
    <row r="66" spans="1:4" hidden="1" outlineLevel="2" x14ac:dyDescent="0.25">
      <c r="A66" t="s">
        <v>4</v>
      </c>
      <c r="B66">
        <v>3</v>
      </c>
      <c r="C66" t="s">
        <v>7</v>
      </c>
      <c r="D66">
        <v>1049</v>
      </c>
    </row>
    <row r="67" spans="1:4" hidden="1" outlineLevel="2" x14ac:dyDescent="0.25">
      <c r="A67" t="s">
        <v>4</v>
      </c>
      <c r="B67">
        <v>1</v>
      </c>
      <c r="C67" t="s">
        <v>7</v>
      </c>
      <c r="D67">
        <v>8229</v>
      </c>
    </row>
    <row r="68" spans="1:4" hidden="1" outlineLevel="2" x14ac:dyDescent="0.25">
      <c r="A68" t="s">
        <v>4</v>
      </c>
      <c r="B68">
        <v>3</v>
      </c>
      <c r="C68" t="s">
        <v>7</v>
      </c>
      <c r="D68">
        <v>1073</v>
      </c>
    </row>
    <row r="69" spans="1:4" outlineLevel="1" collapsed="1" x14ac:dyDescent="0.25">
      <c r="A69" s="1" t="s">
        <v>21</v>
      </c>
      <c r="D69">
        <f>SUBTOTAL(9,D53:D68)</f>
        <v>85948</v>
      </c>
    </row>
    <row r="70" spans="1:4" outlineLevel="1" x14ac:dyDescent="0.25"/>
    <row r="71" spans="1:4" outlineLevel="1" x14ac:dyDescent="0.25"/>
    <row r="72" spans="1:4" outlineLevel="1" x14ac:dyDescent="0.25"/>
    <row r="73" spans="1:4" outlineLevel="1" x14ac:dyDescent="0.25"/>
    <row r="74" spans="1:4" outlineLevel="1" x14ac:dyDescent="0.25"/>
    <row r="75" spans="1:4" outlineLevel="1" x14ac:dyDescent="0.25"/>
    <row r="76" spans="1:4" outlineLevel="1" x14ac:dyDescent="0.25"/>
    <row r="77" spans="1:4" outlineLevel="1" x14ac:dyDescent="0.25"/>
    <row r="78" spans="1:4" outlineLevel="1" x14ac:dyDescent="0.25"/>
    <row r="79" spans="1:4" outlineLevel="1" x14ac:dyDescent="0.25"/>
    <row r="80" spans="1:4" outlineLevel="1" x14ac:dyDescent="0.25"/>
    <row r="81" outlineLevel="1" x14ac:dyDescent="0.25"/>
    <row r="82" outlineLevel="1" x14ac:dyDescent="0.25"/>
    <row r="83" outlineLevel="1" x14ac:dyDescent="0.25"/>
    <row r="84" outlineLevel="1" x14ac:dyDescent="0.25"/>
    <row r="85" outlineLevel="1" x14ac:dyDescent="0.25"/>
    <row r="86" outlineLevel="1" x14ac:dyDescent="0.25"/>
    <row r="87" outlineLevel="1" x14ac:dyDescent="0.25"/>
    <row r="88" outlineLevel="1" x14ac:dyDescent="0.25"/>
    <row r="89" outlineLevel="1" x14ac:dyDescent="0.25"/>
    <row r="90" outlineLevel="1" x14ac:dyDescent="0.25"/>
    <row r="91" outlineLevel="1" x14ac:dyDescent="0.25"/>
    <row r="92" outlineLevel="1" x14ac:dyDescent="0.25"/>
    <row r="93" outlineLevel="1" x14ac:dyDescent="0.25"/>
    <row r="94" outlineLevel="1" x14ac:dyDescent="0.25"/>
    <row r="95" outlineLevel="1" x14ac:dyDescent="0.25"/>
    <row r="96" outlineLevel="1" x14ac:dyDescent="0.25"/>
    <row r="97" outlineLevel="1" x14ac:dyDescent="0.25"/>
    <row r="98" outlineLevel="1" x14ac:dyDescent="0.25"/>
    <row r="99" outlineLevel="1" x14ac:dyDescent="0.25"/>
    <row r="100" outlineLevel="1" x14ac:dyDescent="0.25"/>
    <row r="101" outlineLevel="1" x14ac:dyDescent="0.25"/>
    <row r="102" outlineLevel="1" x14ac:dyDescent="0.25"/>
    <row r="103" outlineLevel="1" x14ac:dyDescent="0.25"/>
    <row r="104" outlineLevel="1" x14ac:dyDescent="0.25"/>
    <row r="105" outlineLevel="1" x14ac:dyDescent="0.25"/>
    <row r="106" outlineLevel="1" x14ac:dyDescent="0.25"/>
    <row r="107" outlineLevel="1" x14ac:dyDescent="0.25"/>
    <row r="108" outlineLevel="1" x14ac:dyDescent="0.25"/>
    <row r="109" outlineLevel="1" x14ac:dyDescent="0.25"/>
    <row r="110" outlineLevel="1" x14ac:dyDescent="0.25"/>
    <row r="111" outlineLevel="1" x14ac:dyDescent="0.25"/>
    <row r="112" outlineLevel="1" x14ac:dyDescent="0.25"/>
    <row r="113" outlineLevel="1" x14ac:dyDescent="0.25"/>
    <row r="114" outlineLevel="1" x14ac:dyDescent="0.25"/>
    <row r="115" outlineLevel="1" x14ac:dyDescent="0.25"/>
    <row r="116" outlineLevel="1" x14ac:dyDescent="0.25"/>
    <row r="117" outlineLevel="1" x14ac:dyDescent="0.25"/>
    <row r="118" outlineLevel="1" x14ac:dyDescent="0.25"/>
    <row r="119" outlineLevel="1" x14ac:dyDescent="0.25"/>
    <row r="120" outlineLevel="1" x14ac:dyDescent="0.25"/>
    <row r="121" outlineLevel="1" x14ac:dyDescent="0.25"/>
    <row r="122" outlineLevel="1" x14ac:dyDescent="0.25"/>
    <row r="123" outlineLevel="1" x14ac:dyDescent="0.25"/>
    <row r="124" outlineLevel="1" x14ac:dyDescent="0.25"/>
    <row r="125" outlineLevel="1" x14ac:dyDescent="0.25"/>
    <row r="126" outlineLevel="1" x14ac:dyDescent="0.25"/>
    <row r="127" outlineLevel="1" x14ac:dyDescent="0.25"/>
    <row r="128" outlineLevel="1" x14ac:dyDescent="0.25"/>
    <row r="129" outlineLevel="1" x14ac:dyDescent="0.25"/>
    <row r="130" outlineLevel="1" x14ac:dyDescent="0.25"/>
    <row r="131" outlineLevel="1" x14ac:dyDescent="0.25"/>
    <row r="132" outlineLevel="1" x14ac:dyDescent="0.25"/>
    <row r="133" outlineLevel="1" x14ac:dyDescent="0.25"/>
    <row r="134" outlineLevel="1" x14ac:dyDescent="0.25"/>
    <row r="135" outlineLevel="1" x14ac:dyDescent="0.25"/>
    <row r="136" outlineLevel="1" x14ac:dyDescent="0.25"/>
    <row r="137" outlineLevel="1" x14ac:dyDescent="0.25"/>
    <row r="138" outlineLevel="1" x14ac:dyDescent="0.25"/>
    <row r="139" outlineLevel="1" x14ac:dyDescent="0.25"/>
    <row r="140" outlineLevel="1" x14ac:dyDescent="0.25"/>
    <row r="141" outlineLevel="1" x14ac:dyDescent="0.25"/>
    <row r="142" outlineLevel="1" x14ac:dyDescent="0.25"/>
    <row r="143" outlineLevel="1" x14ac:dyDescent="0.25"/>
    <row r="144" outlineLevel="1" x14ac:dyDescent="0.25"/>
    <row r="145" outlineLevel="1" x14ac:dyDescent="0.25"/>
    <row r="146" outlineLevel="1" x14ac:dyDescent="0.25"/>
    <row r="147" outlineLevel="1" x14ac:dyDescent="0.25"/>
    <row r="148" outlineLevel="1" x14ac:dyDescent="0.25"/>
    <row r="149" outlineLevel="1" x14ac:dyDescent="0.25"/>
    <row r="150" outlineLevel="1" x14ac:dyDescent="0.25"/>
    <row r="151" outlineLevel="1" x14ac:dyDescent="0.25"/>
    <row r="152" outlineLevel="1" x14ac:dyDescent="0.25"/>
    <row r="153" outlineLevel="1" x14ac:dyDescent="0.25"/>
    <row r="154" outlineLevel="1" x14ac:dyDescent="0.25"/>
    <row r="155" outlineLevel="1" x14ac:dyDescent="0.25"/>
    <row r="156" outlineLevel="1" x14ac:dyDescent="0.25"/>
    <row r="157" outlineLevel="1" x14ac:dyDescent="0.25"/>
    <row r="158" outlineLevel="1" x14ac:dyDescent="0.25"/>
    <row r="159" outlineLevel="1" x14ac:dyDescent="0.25"/>
    <row r="160" outlineLevel="1" x14ac:dyDescent="0.25"/>
    <row r="161" spans="1:4" outlineLevel="1" x14ac:dyDescent="0.25"/>
    <row r="162" spans="1:4" outlineLevel="1" x14ac:dyDescent="0.25"/>
    <row r="163" spans="1:4" outlineLevel="1" x14ac:dyDescent="0.25"/>
    <row r="164" spans="1:4" outlineLevel="1" x14ac:dyDescent="0.25"/>
    <row r="165" spans="1:4" outlineLevel="1" x14ac:dyDescent="0.25"/>
    <row r="166" spans="1:4" outlineLevel="1" x14ac:dyDescent="0.25"/>
    <row r="167" spans="1:4" outlineLevel="1" x14ac:dyDescent="0.25"/>
    <row r="168" spans="1:4" outlineLevel="1" x14ac:dyDescent="0.25"/>
    <row r="169" spans="1:4" outlineLevel="1" x14ac:dyDescent="0.25"/>
    <row r="170" spans="1:4" outlineLevel="1" x14ac:dyDescent="0.25"/>
    <row r="171" spans="1:4" outlineLevel="1" x14ac:dyDescent="0.25"/>
    <row r="172" spans="1:4" outlineLevel="1" x14ac:dyDescent="0.25"/>
    <row r="173" spans="1:4" outlineLevel="1" x14ac:dyDescent="0.25"/>
    <row r="174" spans="1:4" outlineLevel="1" x14ac:dyDescent="0.25"/>
    <row r="175" spans="1:4" outlineLevel="1" x14ac:dyDescent="0.25"/>
    <row r="176" spans="1:4" outlineLevel="1" x14ac:dyDescent="0.25">
      <c r="A176" s="1" t="s">
        <v>12</v>
      </c>
      <c r="D176">
        <f>SUBTOTAL(9,D2:D175)</f>
        <v>399668</v>
      </c>
    </row>
  </sheetData>
  <sortState ref="A2:D172">
    <sortCondition ref="A2:A1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D2" sqref="D2:D14"/>
    </sheetView>
  </sheetViews>
  <sheetFormatPr defaultRowHeight="15" x14ac:dyDescent="0.25"/>
  <cols>
    <col min="1" max="1" width="13.85546875" customWidth="1"/>
    <col min="2" max="2" width="12.28515625" customWidth="1"/>
    <col min="4" max="4" width="10.85546875" bestFit="1" customWidth="1"/>
    <col min="5" max="15" width="7.85546875" bestFit="1" customWidth="1"/>
  </cols>
  <sheetData>
    <row r="1" spans="1:15" ht="15.75" x14ac:dyDescent="0.25">
      <c r="A1" t="s">
        <v>13</v>
      </c>
      <c r="B1" s="2">
        <v>300000</v>
      </c>
      <c r="D1" s="7">
        <f>B5</f>
        <v>1628.6919298224202</v>
      </c>
      <c r="E1" s="5">
        <v>250000</v>
      </c>
      <c r="F1" s="5">
        <v>255000</v>
      </c>
      <c r="G1" s="5">
        <v>260000</v>
      </c>
      <c r="H1" s="5">
        <v>265000</v>
      </c>
      <c r="I1" s="5">
        <v>270000</v>
      </c>
      <c r="J1" s="5">
        <v>275000</v>
      </c>
      <c r="K1" s="5">
        <v>280000</v>
      </c>
      <c r="L1" s="5">
        <v>285000</v>
      </c>
      <c r="M1" s="5">
        <v>290000</v>
      </c>
      <c r="N1" s="5">
        <v>295000</v>
      </c>
      <c r="O1" s="5">
        <v>300000</v>
      </c>
    </row>
    <row r="2" spans="1:15" ht="15.75" x14ac:dyDescent="0.25">
      <c r="A2" t="s">
        <v>14</v>
      </c>
      <c r="B2" s="2">
        <v>60000</v>
      </c>
      <c r="D2" s="6">
        <v>2.1999999999999999E-2</v>
      </c>
      <c r="E2" s="5">
        <f t="dataTable" ref="E2:O14" dt2D="1" dtr="1" r1="B1" r2="B4"/>
        <v>1240.2426221883456</v>
      </c>
      <c r="F2" s="5">
        <v>1272.8805859301444</v>
      </c>
      <c r="G2" s="5">
        <v>1305.518549671943</v>
      </c>
      <c r="H2" s="5">
        <v>1338.1565134137415</v>
      </c>
      <c r="I2" s="5">
        <v>1370.7944771555401</v>
      </c>
      <c r="J2" s="5">
        <v>1403.4324408973387</v>
      </c>
      <c r="K2" s="5">
        <v>1436.0704046391372</v>
      </c>
      <c r="L2" s="5">
        <v>1468.7083683809358</v>
      </c>
      <c r="M2" s="5">
        <v>1501.3463321227343</v>
      </c>
      <c r="N2" s="5">
        <v>1533.9842958645331</v>
      </c>
      <c r="O2" s="5">
        <v>1566.6222596063315</v>
      </c>
    </row>
    <row r="3" spans="1:15" ht="15.75" x14ac:dyDescent="0.25">
      <c r="A3" t="s">
        <v>15</v>
      </c>
      <c r="B3">
        <v>180</v>
      </c>
      <c r="D3" s="6">
        <v>2.3E-2</v>
      </c>
      <c r="E3" s="5">
        <v>1249.0892595833595</v>
      </c>
      <c r="F3" s="5">
        <v>1281.9600295723951</v>
      </c>
      <c r="G3" s="5">
        <v>1314.8307995614309</v>
      </c>
      <c r="H3" s="5">
        <v>1347.7015695504667</v>
      </c>
      <c r="I3" s="5">
        <v>1380.5723395395023</v>
      </c>
      <c r="J3" s="5">
        <v>1413.4431095285383</v>
      </c>
      <c r="K3" s="5">
        <v>1446.3138795175742</v>
      </c>
      <c r="L3" s="5">
        <v>1479.1846495066097</v>
      </c>
      <c r="M3" s="5">
        <v>1512.0554194956455</v>
      </c>
      <c r="N3" s="5">
        <v>1544.9261894846813</v>
      </c>
      <c r="O3" s="5">
        <v>1577.7969594737172</v>
      </c>
    </row>
    <row r="4" spans="1:15" ht="15.75" x14ac:dyDescent="0.25">
      <c r="A4" t="s">
        <v>16</v>
      </c>
      <c r="B4" s="3">
        <v>2.75E-2</v>
      </c>
      <c r="D4" s="6">
        <v>2.4E-2</v>
      </c>
      <c r="E4" s="5">
        <v>1257.9748998482091</v>
      </c>
      <c r="F4" s="5">
        <v>1291.0795024757936</v>
      </c>
      <c r="G4" s="5">
        <v>1324.184105103378</v>
      </c>
      <c r="H4" s="5">
        <v>1357.2887077309624</v>
      </c>
      <c r="I4" s="5">
        <v>1390.3933103585468</v>
      </c>
      <c r="J4" s="5">
        <v>1423.4979129861315</v>
      </c>
      <c r="K4" s="5">
        <v>1456.6025156137159</v>
      </c>
      <c r="L4" s="5">
        <v>1489.7071182413001</v>
      </c>
      <c r="M4" s="5">
        <v>1522.8117208688845</v>
      </c>
      <c r="N4" s="5">
        <v>1555.9163234964692</v>
      </c>
      <c r="O4" s="5">
        <v>1589.0209261240536</v>
      </c>
    </row>
    <row r="5" spans="1:15" ht="15.75" x14ac:dyDescent="0.25">
      <c r="A5" t="s">
        <v>17</v>
      </c>
      <c r="B5" s="4">
        <f>-PMT(B4/12, B3, B1-B2)</f>
        <v>1628.6919298224202</v>
      </c>
      <c r="D5" s="6">
        <v>2.5000000000000001E-2</v>
      </c>
      <c r="E5" s="5">
        <v>1266.8994971170739</v>
      </c>
      <c r="F5" s="5">
        <v>1300.2389575675234</v>
      </c>
      <c r="G5" s="5">
        <v>1333.5784180179728</v>
      </c>
      <c r="H5" s="5">
        <v>1366.917878468422</v>
      </c>
      <c r="I5" s="5">
        <v>1400.2573389188715</v>
      </c>
      <c r="J5" s="5">
        <v>1433.5967993693205</v>
      </c>
      <c r="K5" s="5">
        <v>1466.9362598197699</v>
      </c>
      <c r="L5" s="5">
        <v>1500.2757202702194</v>
      </c>
      <c r="M5" s="5">
        <v>1533.6151807206686</v>
      </c>
      <c r="N5" s="5">
        <v>1566.9546411711178</v>
      </c>
      <c r="O5" s="5">
        <v>1600.2941016215673</v>
      </c>
    </row>
    <row r="6" spans="1:15" ht="15.75" x14ac:dyDescent="0.25">
      <c r="D6" s="6">
        <v>2.5999999999999999E-2</v>
      </c>
      <c r="E6" s="5">
        <v>1275.8630038508209</v>
      </c>
      <c r="F6" s="5">
        <v>1309.4383460574213</v>
      </c>
      <c r="G6" s="5">
        <v>1343.013688264022</v>
      </c>
      <c r="H6" s="5">
        <v>1376.5890304706224</v>
      </c>
      <c r="I6" s="5">
        <v>1410.1643726772229</v>
      </c>
      <c r="J6" s="5">
        <v>1443.7397148838236</v>
      </c>
      <c r="K6" s="5">
        <v>1477.315057090424</v>
      </c>
      <c r="L6" s="5">
        <v>1510.8903992970245</v>
      </c>
      <c r="M6" s="5">
        <v>1544.4657415036252</v>
      </c>
      <c r="N6" s="5">
        <v>1578.0410837102256</v>
      </c>
      <c r="O6" s="5">
        <v>1611.6164259168263</v>
      </c>
    </row>
    <row r="7" spans="1:15" ht="15.75" x14ac:dyDescent="0.25">
      <c r="D7" s="6">
        <v>2.7E-2</v>
      </c>
      <c r="E7" s="5">
        <v>1284.8653708447746</v>
      </c>
      <c r="F7" s="5">
        <v>1318.6776174459528</v>
      </c>
      <c r="G7" s="5">
        <v>1352.4898640471311</v>
      </c>
      <c r="H7" s="5">
        <v>1386.3021106483093</v>
      </c>
      <c r="I7" s="5">
        <v>1420.1143572494875</v>
      </c>
      <c r="J7" s="5">
        <v>1453.9266038506657</v>
      </c>
      <c r="K7" s="5">
        <v>1487.738850451844</v>
      </c>
      <c r="L7" s="5">
        <v>1521.5510970530222</v>
      </c>
      <c r="M7" s="5">
        <v>1555.3633436542007</v>
      </c>
      <c r="N7" s="5">
        <v>1589.1755902553791</v>
      </c>
      <c r="O7" s="5">
        <v>1622.9878368565574</v>
      </c>
    </row>
    <row r="8" spans="1:15" ht="15.75" x14ac:dyDescent="0.25">
      <c r="D8" s="6">
        <v>2.8000000000000001E-2</v>
      </c>
      <c r="E8" s="5">
        <v>1293.9065472367415</v>
      </c>
      <c r="F8" s="5">
        <v>1327.9567195324453</v>
      </c>
      <c r="G8" s="5">
        <v>1362.006891828149</v>
      </c>
      <c r="H8" s="5">
        <v>1396.0570641238528</v>
      </c>
      <c r="I8" s="5">
        <v>1430.1072364195563</v>
      </c>
      <c r="J8" s="5">
        <v>1464.1574087152603</v>
      </c>
      <c r="K8" s="5">
        <v>1498.2075810109638</v>
      </c>
      <c r="L8" s="5">
        <v>1532.2577533066674</v>
      </c>
      <c r="M8" s="5">
        <v>1566.3079256023714</v>
      </c>
      <c r="N8" s="5">
        <v>1600.3580978980749</v>
      </c>
      <c r="O8" s="5">
        <v>1634.4082701937787</v>
      </c>
    </row>
    <row r="9" spans="1:15" ht="15.75" x14ac:dyDescent="0.25">
      <c r="D9" s="6">
        <v>2.9000000000000001E-2</v>
      </c>
      <c r="E9" s="5">
        <v>1302.986480515274</v>
      </c>
      <c r="F9" s="5">
        <v>1337.2755984235707</v>
      </c>
      <c r="G9" s="5">
        <v>1371.5647163318674</v>
      </c>
      <c r="H9" s="5">
        <v>1405.8538342401639</v>
      </c>
      <c r="I9" s="5">
        <v>1440.1429521484606</v>
      </c>
      <c r="J9" s="5">
        <v>1474.4320700567573</v>
      </c>
      <c r="K9" s="5">
        <v>1508.721187965054</v>
      </c>
      <c r="L9" s="5">
        <v>1543.0103058733507</v>
      </c>
      <c r="M9" s="5">
        <v>1577.2994237816472</v>
      </c>
      <c r="N9" s="5">
        <v>1611.5885416899439</v>
      </c>
      <c r="O9" s="5">
        <v>1645.8776595982406</v>
      </c>
    </row>
    <row r="10" spans="1:15" ht="15.75" x14ac:dyDescent="0.25">
      <c r="D10" s="6">
        <v>0.03</v>
      </c>
      <c r="E10" s="5">
        <v>1312.105116528181</v>
      </c>
      <c r="F10" s="5">
        <v>1346.6341985420806</v>
      </c>
      <c r="G10" s="5">
        <v>1381.1632805559802</v>
      </c>
      <c r="H10" s="5">
        <v>1415.6923625698796</v>
      </c>
      <c r="I10" s="5">
        <v>1450.2214445837792</v>
      </c>
      <c r="J10" s="5">
        <v>1484.7505265976786</v>
      </c>
      <c r="K10" s="5">
        <v>1519.2796086115779</v>
      </c>
      <c r="L10" s="5">
        <v>1553.8086906254775</v>
      </c>
      <c r="M10" s="5">
        <v>1588.3377726393774</v>
      </c>
      <c r="N10" s="5">
        <v>1622.8668546532767</v>
      </c>
      <c r="O10" s="5">
        <v>1657.3959366671761</v>
      </c>
    </row>
    <row r="11" spans="1:15" ht="15.75" x14ac:dyDescent="0.25">
      <c r="D11" s="6">
        <v>3.1E-2</v>
      </c>
      <c r="E11" s="5">
        <v>1321.2623994912781</v>
      </c>
      <c r="F11" s="5">
        <v>1356.0324626357854</v>
      </c>
      <c r="G11" s="5">
        <v>1390.8025257802926</v>
      </c>
      <c r="H11" s="5">
        <v>1425.5725889247999</v>
      </c>
      <c r="I11" s="5">
        <v>1460.3426520693074</v>
      </c>
      <c r="J11" s="5">
        <v>1495.1127152138145</v>
      </c>
      <c r="K11" s="5">
        <v>1529.882778358322</v>
      </c>
      <c r="L11" s="5">
        <v>1564.6528415028292</v>
      </c>
      <c r="M11" s="5">
        <v>1599.4229046473367</v>
      </c>
      <c r="N11" s="5">
        <v>1634.1929677918438</v>
      </c>
      <c r="O11" s="5">
        <v>1668.9630309363513</v>
      </c>
    </row>
    <row r="12" spans="1:15" ht="15.75" x14ac:dyDescent="0.25">
      <c r="D12" s="6">
        <v>3.2000000000000001E-2</v>
      </c>
      <c r="E12" s="5">
        <v>1330.4582719973755</v>
      </c>
      <c r="F12" s="5">
        <v>1365.4703317867802</v>
      </c>
      <c r="G12" s="5">
        <v>1400.4823915761849</v>
      </c>
      <c r="H12" s="5">
        <v>1435.4944513655894</v>
      </c>
      <c r="I12" s="5">
        <v>1470.5065111549941</v>
      </c>
      <c r="J12" s="5">
        <v>1505.5185709443986</v>
      </c>
      <c r="K12" s="5">
        <v>1540.5306307338033</v>
      </c>
      <c r="L12" s="5">
        <v>1575.5426905232077</v>
      </c>
      <c r="M12" s="5">
        <v>1610.5547503126124</v>
      </c>
      <c r="N12" s="5">
        <v>1645.5668101020169</v>
      </c>
      <c r="O12" s="5">
        <v>1680.5788698914218</v>
      </c>
    </row>
    <row r="13" spans="1:15" ht="15.75" x14ac:dyDescent="0.25">
      <c r="D13" s="6">
        <v>3.3000000000000002E-2</v>
      </c>
      <c r="E13" s="5">
        <v>1339.6926750255034</v>
      </c>
      <c r="F13" s="5">
        <v>1374.9477454209111</v>
      </c>
      <c r="G13" s="5">
        <v>1410.2028158163191</v>
      </c>
      <c r="H13" s="5">
        <v>1445.4578862117271</v>
      </c>
      <c r="I13" s="5">
        <v>1480.7129566071353</v>
      </c>
      <c r="J13" s="5">
        <v>1515.9680270025433</v>
      </c>
      <c r="K13" s="5">
        <v>1551.2230973979511</v>
      </c>
      <c r="L13" s="5">
        <v>1586.478167793359</v>
      </c>
      <c r="M13" s="5">
        <v>1621.733238188767</v>
      </c>
      <c r="N13" s="5">
        <v>1656.988308584175</v>
      </c>
      <c r="O13" s="5">
        <v>1692.243378979583</v>
      </c>
    </row>
    <row r="14" spans="1:15" ht="15.75" x14ac:dyDescent="0.25">
      <c r="D14" s="6">
        <v>3.4000000000000002E-2</v>
      </c>
      <c r="E14" s="5">
        <v>1348.9655479503667</v>
      </c>
      <c r="F14" s="5">
        <v>1384.4646413174817</v>
      </c>
      <c r="G14" s="5">
        <v>1419.9637346845966</v>
      </c>
      <c r="H14" s="5">
        <v>1455.4628280517115</v>
      </c>
      <c r="I14" s="5">
        <v>1490.9619214188265</v>
      </c>
      <c r="J14" s="5">
        <v>1526.4610147859412</v>
      </c>
      <c r="K14" s="5">
        <v>1561.9601081530561</v>
      </c>
      <c r="L14" s="5">
        <v>1597.4592015201711</v>
      </c>
      <c r="M14" s="5">
        <v>1632.958294887286</v>
      </c>
      <c r="N14" s="5">
        <v>1668.4573882544009</v>
      </c>
      <c r="O14" s="5">
        <v>1703.9564816215159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I21" sqref="I21"/>
    </sheetView>
  </sheetViews>
  <sheetFormatPr defaultRowHeight="15" x14ac:dyDescent="0.25"/>
  <cols>
    <col min="2" max="2" width="9.85546875" bestFit="1" customWidth="1"/>
    <col min="4" max="5" width="9.85546875" bestFit="1" customWidth="1"/>
  </cols>
  <sheetData>
    <row r="1" spans="1:15" ht="15.75" x14ac:dyDescent="0.25">
      <c r="A1" t="s">
        <v>13</v>
      </c>
      <c r="B1" s="2">
        <v>300000</v>
      </c>
      <c r="D1" s="4">
        <f>B5</f>
        <v>1628.6919298224202</v>
      </c>
      <c r="E1" s="5">
        <v>250000</v>
      </c>
      <c r="F1" s="5">
        <v>255000</v>
      </c>
      <c r="G1" s="5">
        <v>260000</v>
      </c>
      <c r="H1" s="5">
        <v>265000</v>
      </c>
      <c r="I1" s="5">
        <v>270000</v>
      </c>
      <c r="J1" s="5">
        <v>275000</v>
      </c>
      <c r="K1" s="5">
        <v>280000</v>
      </c>
      <c r="L1" s="5">
        <v>285000</v>
      </c>
      <c r="M1" s="5">
        <v>290000</v>
      </c>
      <c r="N1" s="5">
        <v>295000</v>
      </c>
      <c r="O1" s="5">
        <v>300000</v>
      </c>
    </row>
    <row r="2" spans="1:15" ht="15.75" x14ac:dyDescent="0.25">
      <c r="A2" t="s">
        <v>14</v>
      </c>
      <c r="B2" s="2">
        <v>60000</v>
      </c>
      <c r="D2" s="6">
        <v>2.1999999999999999E-2</v>
      </c>
      <c r="E2" s="8">
        <f>-PMT($D2/12,$B$3,E$1-$B$2)</f>
        <v>1240.2426221883456</v>
      </c>
      <c r="F2" s="8">
        <f t="shared" ref="F2:O14" si="0">-PMT($D2/12,$B$3,F$1-$B$2)</f>
        <v>1272.8805859301444</v>
      </c>
      <c r="G2" s="8">
        <f t="shared" si="0"/>
        <v>1305.518549671943</v>
      </c>
      <c r="H2" s="8">
        <f t="shared" si="0"/>
        <v>1338.1565134137415</v>
      </c>
      <c r="I2" s="8">
        <f t="shared" si="0"/>
        <v>1370.7944771555401</v>
      </c>
      <c r="J2" s="8">
        <f t="shared" si="0"/>
        <v>1403.4324408973387</v>
      </c>
      <c r="K2" s="8">
        <f t="shared" si="0"/>
        <v>1436.0704046391372</v>
      </c>
      <c r="L2" s="8">
        <f t="shared" si="0"/>
        <v>1468.7083683809358</v>
      </c>
      <c r="M2" s="8">
        <f t="shared" si="0"/>
        <v>1501.3463321227343</v>
      </c>
      <c r="N2" s="8">
        <f t="shared" si="0"/>
        <v>1533.9842958645331</v>
      </c>
      <c r="O2" s="8">
        <f t="shared" si="0"/>
        <v>1566.6222596063315</v>
      </c>
    </row>
    <row r="3" spans="1:15" ht="15.75" x14ac:dyDescent="0.25">
      <c r="A3" t="s">
        <v>15</v>
      </c>
      <c r="B3">
        <v>180</v>
      </c>
      <c r="D3" s="6">
        <v>2.3E-2</v>
      </c>
      <c r="E3" s="8">
        <f t="shared" ref="E3:E14" si="1">-PMT($D3/12,$B$3,E$1-$B$2)</f>
        <v>1249.0892595833595</v>
      </c>
      <c r="F3" s="8">
        <f t="shared" si="0"/>
        <v>1281.9600295723951</v>
      </c>
      <c r="G3" s="8">
        <f t="shared" si="0"/>
        <v>1314.8307995614309</v>
      </c>
      <c r="H3" s="8">
        <f t="shared" si="0"/>
        <v>1347.7015695504667</v>
      </c>
      <c r="I3" s="8">
        <f t="shared" si="0"/>
        <v>1380.5723395395023</v>
      </c>
      <c r="J3" s="8">
        <f t="shared" si="0"/>
        <v>1413.4431095285383</v>
      </c>
      <c r="K3" s="8">
        <f t="shared" si="0"/>
        <v>1446.3138795175742</v>
      </c>
      <c r="L3" s="8">
        <f t="shared" si="0"/>
        <v>1479.1846495066097</v>
      </c>
      <c r="M3" s="8">
        <f t="shared" si="0"/>
        <v>1512.0554194956455</v>
      </c>
      <c r="N3" s="8">
        <f t="shared" si="0"/>
        <v>1544.9261894846813</v>
      </c>
      <c r="O3" s="8">
        <f t="shared" si="0"/>
        <v>1577.7969594737172</v>
      </c>
    </row>
    <row r="4" spans="1:15" ht="15.75" x14ac:dyDescent="0.25">
      <c r="A4" t="s">
        <v>16</v>
      </c>
      <c r="B4" s="3">
        <v>2.75E-2</v>
      </c>
      <c r="D4" s="6">
        <v>2.4E-2</v>
      </c>
      <c r="E4" s="8">
        <f t="shared" si="1"/>
        <v>1257.9748998482091</v>
      </c>
      <c r="F4" s="8">
        <f t="shared" si="0"/>
        <v>1291.0795024757936</v>
      </c>
      <c r="G4" s="8">
        <f t="shared" si="0"/>
        <v>1324.184105103378</v>
      </c>
      <c r="H4" s="8">
        <f t="shared" si="0"/>
        <v>1357.2887077309624</v>
      </c>
      <c r="I4" s="8">
        <f t="shared" si="0"/>
        <v>1390.3933103585468</v>
      </c>
      <c r="J4" s="8">
        <f t="shared" si="0"/>
        <v>1423.4979129861315</v>
      </c>
      <c r="K4" s="8">
        <f t="shared" si="0"/>
        <v>1456.6025156137159</v>
      </c>
      <c r="L4" s="8">
        <f t="shared" si="0"/>
        <v>1489.7071182413001</v>
      </c>
      <c r="M4" s="8">
        <f t="shared" si="0"/>
        <v>1522.8117208688845</v>
      </c>
      <c r="N4" s="8">
        <f t="shared" si="0"/>
        <v>1555.9163234964692</v>
      </c>
      <c r="O4" s="8">
        <f t="shared" si="0"/>
        <v>1589.0209261240536</v>
      </c>
    </row>
    <row r="5" spans="1:15" ht="15.75" x14ac:dyDescent="0.25">
      <c r="A5" t="s">
        <v>17</v>
      </c>
      <c r="B5" s="4">
        <f>-PMT(B4/12, B3, B1-B2)</f>
        <v>1628.6919298224202</v>
      </c>
      <c r="D5" s="6">
        <v>2.5000000000000001E-2</v>
      </c>
      <c r="E5" s="8">
        <f t="shared" si="1"/>
        <v>1266.8994971170739</v>
      </c>
      <c r="F5" s="8">
        <f t="shared" si="0"/>
        <v>1300.2389575675234</v>
      </c>
      <c r="G5" s="8">
        <f t="shared" si="0"/>
        <v>1333.5784180179728</v>
      </c>
      <c r="H5" s="8">
        <f t="shared" si="0"/>
        <v>1366.917878468422</v>
      </c>
      <c r="I5" s="8">
        <f t="shared" si="0"/>
        <v>1400.2573389188715</v>
      </c>
      <c r="J5" s="8">
        <f t="shared" si="0"/>
        <v>1433.5967993693205</v>
      </c>
      <c r="K5" s="8">
        <f t="shared" si="0"/>
        <v>1466.9362598197699</v>
      </c>
      <c r="L5" s="8">
        <f t="shared" si="0"/>
        <v>1500.2757202702194</v>
      </c>
      <c r="M5" s="8">
        <f t="shared" si="0"/>
        <v>1533.6151807206686</v>
      </c>
      <c r="N5" s="8">
        <f t="shared" si="0"/>
        <v>1566.9546411711178</v>
      </c>
      <c r="O5" s="8">
        <f t="shared" si="0"/>
        <v>1600.2941016215673</v>
      </c>
    </row>
    <row r="6" spans="1:15" ht="15.75" x14ac:dyDescent="0.25">
      <c r="D6" s="6">
        <v>2.5999999999999999E-2</v>
      </c>
      <c r="E6" s="8">
        <f t="shared" si="1"/>
        <v>1275.8630038508209</v>
      </c>
      <c r="F6" s="8">
        <f t="shared" si="0"/>
        <v>1309.4383460574213</v>
      </c>
      <c r="G6" s="8">
        <f t="shared" si="0"/>
        <v>1343.013688264022</v>
      </c>
      <c r="H6" s="8">
        <f t="shared" si="0"/>
        <v>1376.5890304706224</v>
      </c>
      <c r="I6" s="8">
        <f t="shared" si="0"/>
        <v>1410.1643726772229</v>
      </c>
      <c r="J6" s="8">
        <f t="shared" si="0"/>
        <v>1443.7397148838236</v>
      </c>
      <c r="K6" s="8">
        <f t="shared" si="0"/>
        <v>1477.315057090424</v>
      </c>
      <c r="L6" s="8">
        <f t="shared" si="0"/>
        <v>1510.8903992970245</v>
      </c>
      <c r="M6" s="8">
        <f t="shared" si="0"/>
        <v>1544.4657415036252</v>
      </c>
      <c r="N6" s="8">
        <f t="shared" si="0"/>
        <v>1578.0410837102256</v>
      </c>
      <c r="O6" s="8">
        <f t="shared" si="0"/>
        <v>1611.6164259168263</v>
      </c>
    </row>
    <row r="7" spans="1:15" ht="15.75" x14ac:dyDescent="0.25">
      <c r="D7" s="6">
        <v>2.7E-2</v>
      </c>
      <c r="E7" s="8">
        <f t="shared" si="1"/>
        <v>1284.8653708447746</v>
      </c>
      <c r="F7" s="8">
        <f t="shared" si="0"/>
        <v>1318.6776174459528</v>
      </c>
      <c r="G7" s="8">
        <f t="shared" si="0"/>
        <v>1352.4898640471311</v>
      </c>
      <c r="H7" s="8">
        <f t="shared" si="0"/>
        <v>1386.3021106483093</v>
      </c>
      <c r="I7" s="8">
        <f t="shared" si="0"/>
        <v>1420.1143572494875</v>
      </c>
      <c r="J7" s="8">
        <f t="shared" si="0"/>
        <v>1453.9266038506657</v>
      </c>
      <c r="K7" s="8">
        <f t="shared" si="0"/>
        <v>1487.738850451844</v>
      </c>
      <c r="L7" s="8">
        <f t="shared" si="0"/>
        <v>1521.5510970530222</v>
      </c>
      <c r="M7" s="8">
        <f t="shared" si="0"/>
        <v>1555.3633436542007</v>
      </c>
      <c r="N7" s="8">
        <f t="shared" si="0"/>
        <v>1589.1755902553791</v>
      </c>
      <c r="O7" s="8">
        <f t="shared" si="0"/>
        <v>1622.9878368565574</v>
      </c>
    </row>
    <row r="8" spans="1:15" ht="15.75" x14ac:dyDescent="0.25">
      <c r="D8" s="6">
        <v>2.8000000000000001E-2</v>
      </c>
      <c r="E8" s="8">
        <f t="shared" si="1"/>
        <v>1293.9065472367415</v>
      </c>
      <c r="F8" s="8">
        <f t="shared" si="0"/>
        <v>1327.9567195324453</v>
      </c>
      <c r="G8" s="8">
        <f t="shared" si="0"/>
        <v>1362.006891828149</v>
      </c>
      <c r="H8" s="8">
        <f t="shared" si="0"/>
        <v>1396.0570641238528</v>
      </c>
      <c r="I8" s="8">
        <f t="shared" si="0"/>
        <v>1430.1072364195563</v>
      </c>
      <c r="J8" s="8">
        <f t="shared" si="0"/>
        <v>1464.1574087152603</v>
      </c>
      <c r="K8" s="8">
        <f t="shared" si="0"/>
        <v>1498.2075810109638</v>
      </c>
      <c r="L8" s="8">
        <f t="shared" si="0"/>
        <v>1532.2577533066674</v>
      </c>
      <c r="M8" s="8">
        <f t="shared" si="0"/>
        <v>1566.3079256023714</v>
      </c>
      <c r="N8" s="8">
        <f t="shared" si="0"/>
        <v>1600.3580978980749</v>
      </c>
      <c r="O8" s="8">
        <f t="shared" si="0"/>
        <v>1634.4082701937787</v>
      </c>
    </row>
    <row r="9" spans="1:15" ht="15.75" x14ac:dyDescent="0.25">
      <c r="D9" s="6">
        <v>2.9000000000000001E-2</v>
      </c>
      <c r="E9" s="8">
        <f t="shared" si="1"/>
        <v>1302.986480515274</v>
      </c>
      <c r="F9" s="8">
        <f t="shared" si="0"/>
        <v>1337.2755984235707</v>
      </c>
      <c r="G9" s="8">
        <f t="shared" si="0"/>
        <v>1371.5647163318674</v>
      </c>
      <c r="H9" s="8">
        <f t="shared" si="0"/>
        <v>1405.8538342401639</v>
      </c>
      <c r="I9" s="8">
        <f t="shared" si="0"/>
        <v>1440.1429521484606</v>
      </c>
      <c r="J9" s="8">
        <f t="shared" si="0"/>
        <v>1474.4320700567573</v>
      </c>
      <c r="K9" s="8">
        <f t="shared" si="0"/>
        <v>1508.721187965054</v>
      </c>
      <c r="L9" s="8">
        <f t="shared" si="0"/>
        <v>1543.0103058733507</v>
      </c>
      <c r="M9" s="8">
        <f t="shared" si="0"/>
        <v>1577.2994237816472</v>
      </c>
      <c r="N9" s="8">
        <f t="shared" si="0"/>
        <v>1611.5885416899439</v>
      </c>
      <c r="O9" s="8">
        <f t="shared" si="0"/>
        <v>1645.8776595982406</v>
      </c>
    </row>
    <row r="10" spans="1:15" ht="15.75" x14ac:dyDescent="0.25">
      <c r="D10" s="6">
        <v>0.03</v>
      </c>
      <c r="E10" s="8">
        <f t="shared" si="1"/>
        <v>1312.105116528181</v>
      </c>
      <c r="F10" s="8">
        <f t="shared" si="0"/>
        <v>1346.6341985420806</v>
      </c>
      <c r="G10" s="8">
        <f t="shared" si="0"/>
        <v>1381.1632805559802</v>
      </c>
      <c r="H10" s="8">
        <f t="shared" si="0"/>
        <v>1415.6923625698796</v>
      </c>
      <c r="I10" s="8">
        <f t="shared" si="0"/>
        <v>1450.2214445837792</v>
      </c>
      <c r="J10" s="8">
        <f t="shared" si="0"/>
        <v>1484.7505265976786</v>
      </c>
      <c r="K10" s="8">
        <f t="shared" si="0"/>
        <v>1519.2796086115779</v>
      </c>
      <c r="L10" s="8">
        <f t="shared" si="0"/>
        <v>1553.8086906254775</v>
      </c>
      <c r="M10" s="8">
        <f t="shared" si="0"/>
        <v>1588.3377726393774</v>
      </c>
      <c r="N10" s="8">
        <f t="shared" si="0"/>
        <v>1622.8668546532767</v>
      </c>
      <c r="O10" s="8">
        <f t="shared" si="0"/>
        <v>1657.3959366671761</v>
      </c>
    </row>
    <row r="11" spans="1:15" ht="15.75" x14ac:dyDescent="0.25">
      <c r="D11" s="6">
        <v>3.1E-2</v>
      </c>
      <c r="E11" s="8">
        <f t="shared" si="1"/>
        <v>1321.2623994912781</v>
      </c>
      <c r="F11" s="8">
        <f t="shared" si="0"/>
        <v>1356.0324626357854</v>
      </c>
      <c r="G11" s="8">
        <f t="shared" si="0"/>
        <v>1390.8025257802926</v>
      </c>
      <c r="H11" s="8">
        <f t="shared" si="0"/>
        <v>1425.5725889247999</v>
      </c>
      <c r="I11" s="8">
        <f t="shared" si="0"/>
        <v>1460.3426520693074</v>
      </c>
      <c r="J11" s="8">
        <f t="shared" si="0"/>
        <v>1495.1127152138145</v>
      </c>
      <c r="K11" s="8">
        <f t="shared" si="0"/>
        <v>1529.882778358322</v>
      </c>
      <c r="L11" s="8">
        <f t="shared" si="0"/>
        <v>1564.6528415028292</v>
      </c>
      <c r="M11" s="8">
        <f t="shared" si="0"/>
        <v>1599.4229046473367</v>
      </c>
      <c r="N11" s="8">
        <f t="shared" si="0"/>
        <v>1634.1929677918438</v>
      </c>
      <c r="O11" s="8">
        <f t="shared" si="0"/>
        <v>1668.9630309363513</v>
      </c>
    </row>
    <row r="12" spans="1:15" ht="15.75" x14ac:dyDescent="0.25">
      <c r="D12" s="6">
        <v>3.2000000000000001E-2</v>
      </c>
      <c r="E12" s="8">
        <f t="shared" si="1"/>
        <v>1330.4582719973755</v>
      </c>
      <c r="F12" s="8">
        <f t="shared" si="0"/>
        <v>1365.4703317867802</v>
      </c>
      <c r="G12" s="8">
        <f t="shared" si="0"/>
        <v>1400.4823915761849</v>
      </c>
      <c r="H12" s="8">
        <f t="shared" si="0"/>
        <v>1435.4944513655894</v>
      </c>
      <c r="I12" s="8">
        <f t="shared" si="0"/>
        <v>1470.5065111549941</v>
      </c>
      <c r="J12" s="8">
        <f t="shared" si="0"/>
        <v>1505.5185709443986</v>
      </c>
      <c r="K12" s="8">
        <f t="shared" si="0"/>
        <v>1540.5306307338033</v>
      </c>
      <c r="L12" s="8">
        <f t="shared" si="0"/>
        <v>1575.5426905232077</v>
      </c>
      <c r="M12" s="8">
        <f t="shared" si="0"/>
        <v>1610.5547503126124</v>
      </c>
      <c r="N12" s="8">
        <f t="shared" si="0"/>
        <v>1645.5668101020169</v>
      </c>
      <c r="O12" s="8">
        <f t="shared" si="0"/>
        <v>1680.5788698914218</v>
      </c>
    </row>
    <row r="13" spans="1:15" ht="15.75" x14ac:dyDescent="0.25">
      <c r="D13" s="6">
        <v>3.3000000000000002E-2</v>
      </c>
      <c r="E13" s="8">
        <f t="shared" si="1"/>
        <v>1339.6926750255034</v>
      </c>
      <c r="F13" s="8">
        <f t="shared" si="0"/>
        <v>1374.9477454209111</v>
      </c>
      <c r="G13" s="8">
        <f t="shared" si="0"/>
        <v>1410.2028158163191</v>
      </c>
      <c r="H13" s="8">
        <f t="shared" si="0"/>
        <v>1445.4578862117271</v>
      </c>
      <c r="I13" s="8">
        <f t="shared" si="0"/>
        <v>1480.7129566071353</v>
      </c>
      <c r="J13" s="8">
        <f t="shared" si="0"/>
        <v>1515.9680270025433</v>
      </c>
      <c r="K13" s="8">
        <f t="shared" si="0"/>
        <v>1551.2230973979511</v>
      </c>
      <c r="L13" s="8">
        <f t="shared" si="0"/>
        <v>1586.478167793359</v>
      </c>
      <c r="M13" s="8">
        <f t="shared" si="0"/>
        <v>1621.733238188767</v>
      </c>
      <c r="N13" s="8">
        <f t="shared" si="0"/>
        <v>1656.988308584175</v>
      </c>
      <c r="O13" s="8">
        <f t="shared" si="0"/>
        <v>1692.243378979583</v>
      </c>
    </row>
    <row r="14" spans="1:15" ht="15.75" x14ac:dyDescent="0.25">
      <c r="D14" s="6">
        <v>3.4000000000000002E-2</v>
      </c>
      <c r="E14" s="8">
        <f t="shared" si="1"/>
        <v>1348.9655479503667</v>
      </c>
      <c r="F14" s="8">
        <f t="shared" si="0"/>
        <v>1384.4646413174817</v>
      </c>
      <c r="G14" s="8">
        <f t="shared" si="0"/>
        <v>1419.9637346845966</v>
      </c>
      <c r="H14" s="8">
        <f t="shared" si="0"/>
        <v>1455.4628280517115</v>
      </c>
      <c r="I14" s="8">
        <f t="shared" si="0"/>
        <v>1490.9619214188265</v>
      </c>
      <c r="J14" s="8">
        <f t="shared" si="0"/>
        <v>1526.4610147859412</v>
      </c>
      <c r="K14" s="8">
        <f t="shared" si="0"/>
        <v>1561.9601081530561</v>
      </c>
      <c r="L14" s="8">
        <f t="shared" si="0"/>
        <v>1597.4592015201711</v>
      </c>
      <c r="M14" s="8">
        <f t="shared" si="0"/>
        <v>1632.958294887286</v>
      </c>
      <c r="N14" s="8">
        <f t="shared" si="0"/>
        <v>1668.4573882544009</v>
      </c>
      <c r="O14" s="8">
        <f t="shared" si="0"/>
        <v>1703.9564816215159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ByArrayFormula</vt:lpstr>
      <vt:lpstr>ByRegularFormula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2021-08-03T21:52:49Z</dcterms:modified>
</cp:coreProperties>
</file>