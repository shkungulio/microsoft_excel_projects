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COAD" sheetId="3" r:id="rId1"/>
  </sheets>
  <definedNames>
    <definedName name="_xlnm._FilterDatabase" localSheetId="0" hidden="1">COAD!$A$1:$D$59</definedName>
    <definedName name="COAD_CONTACT_COR" localSheetId="0">COAD!$A$56:$C$380</definedName>
    <definedName name="COAD_DEALTH_COR" localSheetId="0">COAD!$A$2:$C$55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2" i="3" l="1"/>
  <c r="V5" i="3" s="1"/>
  <c r="W2" i="3"/>
  <c r="V3" i="3"/>
  <c r="W3" i="3"/>
  <c r="V9" i="3"/>
  <c r="W9" i="3"/>
  <c r="V10" i="3"/>
  <c r="W10" i="3"/>
  <c r="V11" i="3"/>
  <c r="V12" i="3" s="1"/>
  <c r="W11" i="3"/>
  <c r="W12" i="3"/>
  <c r="V13" i="3"/>
  <c r="W13" i="3"/>
  <c r="W14" i="3" s="1"/>
  <c r="V14" i="3"/>
  <c r="V15" i="3"/>
  <c r="V16" i="3" s="1"/>
  <c r="W15" i="3"/>
  <c r="W16" i="3"/>
  <c r="V17" i="3"/>
  <c r="W17" i="3"/>
  <c r="V18" i="3"/>
  <c r="W18" i="3"/>
  <c r="V19" i="3"/>
  <c r="W19" i="3"/>
  <c r="U11" i="3"/>
  <c r="U12" i="3" s="1"/>
  <c r="U13" i="3" s="1"/>
  <c r="U14" i="3" s="1"/>
  <c r="U15" i="3" s="1"/>
  <c r="U16" i="3" s="1"/>
  <c r="U17" i="3" s="1"/>
  <c r="U18" i="3" s="1"/>
  <c r="U19" i="3" s="1"/>
  <c r="O4" i="3" l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3" i="3"/>
  <c r="N4" i="3"/>
  <c r="N5" i="3"/>
  <c r="N6" i="3"/>
  <c r="N7" i="3"/>
  <c r="N8" i="3"/>
  <c r="N9" i="3"/>
  <c r="N10" i="3"/>
  <c r="N11" i="3"/>
  <c r="M11" i="3" s="1"/>
  <c r="N12" i="3"/>
  <c r="N13" i="3"/>
  <c r="N14" i="3"/>
  <c r="N15" i="3"/>
  <c r="N16" i="3"/>
  <c r="N17" i="3"/>
  <c r="N18" i="3"/>
  <c r="N19" i="3"/>
  <c r="M19" i="3" s="1"/>
  <c r="N20" i="3"/>
  <c r="N21" i="3"/>
  <c r="N22" i="3"/>
  <c r="N23" i="3"/>
  <c r="N24" i="3"/>
  <c r="N25" i="3"/>
  <c r="N26" i="3"/>
  <c r="N27" i="3"/>
  <c r="M27" i="3" s="1"/>
  <c r="N28" i="3"/>
  <c r="N29" i="3"/>
  <c r="N30" i="3"/>
  <c r="N31" i="3"/>
  <c r="N32" i="3"/>
  <c r="N33" i="3"/>
  <c r="N34" i="3"/>
  <c r="N35" i="3"/>
  <c r="M35" i="3" s="1"/>
  <c r="N36" i="3"/>
  <c r="N37" i="3"/>
  <c r="N38" i="3"/>
  <c r="N39" i="3"/>
  <c r="N40" i="3"/>
  <c r="N41" i="3"/>
  <c r="N42" i="3"/>
  <c r="N43" i="3"/>
  <c r="M43" i="3" s="1"/>
  <c r="N44" i="3"/>
  <c r="N45" i="3"/>
  <c r="N46" i="3"/>
  <c r="N47" i="3"/>
  <c r="N48" i="3"/>
  <c r="N49" i="3"/>
  <c r="N50" i="3"/>
  <c r="N51" i="3"/>
  <c r="M51" i="3" s="1"/>
  <c r="N52" i="3"/>
  <c r="N53" i="3"/>
  <c r="N54" i="3"/>
  <c r="N55" i="3"/>
  <c r="N56" i="3"/>
  <c r="N57" i="3"/>
  <c r="N58" i="3"/>
  <c r="N59" i="3"/>
  <c r="M59" i="3" s="1"/>
  <c r="N60" i="3"/>
  <c r="N61" i="3"/>
  <c r="N62" i="3"/>
  <c r="N63" i="3"/>
  <c r="N64" i="3"/>
  <c r="N65" i="3"/>
  <c r="N66" i="3"/>
  <c r="N67" i="3"/>
  <c r="M67" i="3" s="1"/>
  <c r="N68" i="3"/>
  <c r="N69" i="3"/>
  <c r="N70" i="3"/>
  <c r="N71" i="3"/>
  <c r="N72" i="3"/>
  <c r="N73" i="3"/>
  <c r="N74" i="3"/>
  <c r="N75" i="3"/>
  <c r="M75" i="3" s="1"/>
  <c r="N76" i="3"/>
  <c r="N77" i="3"/>
  <c r="N78" i="3"/>
  <c r="N79" i="3"/>
  <c r="N80" i="3"/>
  <c r="N81" i="3"/>
  <c r="N82" i="3"/>
  <c r="N83" i="3"/>
  <c r="M83" i="3" s="1"/>
  <c r="N84" i="3"/>
  <c r="N85" i="3"/>
  <c r="N86" i="3"/>
  <c r="N87" i="3"/>
  <c r="N88" i="3"/>
  <c r="N89" i="3"/>
  <c r="N90" i="3"/>
  <c r="N91" i="3"/>
  <c r="M91" i="3" s="1"/>
  <c r="N92" i="3"/>
  <c r="N93" i="3"/>
  <c r="N94" i="3"/>
  <c r="N95" i="3"/>
  <c r="N96" i="3"/>
  <c r="N97" i="3"/>
  <c r="N98" i="3"/>
  <c r="N99" i="3"/>
  <c r="M99" i="3" s="1"/>
  <c r="N100" i="3"/>
  <c r="N101" i="3"/>
  <c r="N102" i="3"/>
  <c r="N103" i="3"/>
  <c r="N104" i="3"/>
  <c r="N105" i="3"/>
  <c r="N3" i="3"/>
  <c r="M3" i="3" s="1"/>
  <c r="M4" i="3"/>
  <c r="M5" i="3"/>
  <c r="M6" i="3"/>
  <c r="M7" i="3"/>
  <c r="M8" i="3"/>
  <c r="M9" i="3"/>
  <c r="M10" i="3"/>
  <c r="M12" i="3"/>
  <c r="M13" i="3"/>
  <c r="M14" i="3"/>
  <c r="M15" i="3"/>
  <c r="M16" i="3"/>
  <c r="M17" i="3"/>
  <c r="M18" i="3"/>
  <c r="M20" i="3"/>
  <c r="M21" i="3"/>
  <c r="M22" i="3"/>
  <c r="M23" i="3"/>
  <c r="M24" i="3"/>
  <c r="M25" i="3"/>
  <c r="M26" i="3"/>
  <c r="M28" i="3"/>
  <c r="M29" i="3"/>
  <c r="M30" i="3"/>
  <c r="M31" i="3"/>
  <c r="M32" i="3"/>
  <c r="M33" i="3"/>
  <c r="M34" i="3"/>
  <c r="M36" i="3"/>
  <c r="M37" i="3"/>
  <c r="M38" i="3"/>
  <c r="M39" i="3"/>
  <c r="M40" i="3"/>
  <c r="M41" i="3"/>
  <c r="M42" i="3"/>
  <c r="M44" i="3"/>
  <c r="M45" i="3"/>
  <c r="M46" i="3"/>
  <c r="M47" i="3"/>
  <c r="M48" i="3"/>
  <c r="M49" i="3"/>
  <c r="M50" i="3"/>
  <c r="M52" i="3"/>
  <c r="M53" i="3"/>
  <c r="M54" i="3"/>
  <c r="M55" i="3"/>
  <c r="M56" i="3"/>
  <c r="M57" i="3"/>
  <c r="M58" i="3"/>
  <c r="M60" i="3"/>
  <c r="M61" i="3"/>
  <c r="M62" i="3"/>
  <c r="M63" i="3"/>
  <c r="M64" i="3"/>
  <c r="M65" i="3"/>
  <c r="M66" i="3"/>
  <c r="M68" i="3"/>
  <c r="M69" i="3"/>
  <c r="M70" i="3"/>
  <c r="M71" i="3"/>
  <c r="M72" i="3"/>
  <c r="M73" i="3"/>
  <c r="M74" i="3"/>
  <c r="M76" i="3"/>
  <c r="M77" i="3"/>
  <c r="M78" i="3"/>
  <c r="M79" i="3"/>
  <c r="M80" i="3"/>
  <c r="M81" i="3"/>
  <c r="M82" i="3"/>
  <c r="M84" i="3"/>
  <c r="M85" i="3"/>
  <c r="M86" i="3"/>
  <c r="M87" i="3"/>
  <c r="M88" i="3"/>
  <c r="M89" i="3"/>
  <c r="M90" i="3"/>
  <c r="M92" i="3"/>
  <c r="M93" i="3"/>
  <c r="M94" i="3"/>
  <c r="M95" i="3"/>
  <c r="M96" i="3"/>
  <c r="M97" i="3"/>
  <c r="M98" i="3"/>
  <c r="M100" i="3"/>
  <c r="M101" i="3"/>
  <c r="M102" i="3"/>
  <c r="M103" i="3"/>
  <c r="M104" i="3"/>
  <c r="M105" i="3"/>
  <c r="F6" i="3" l="1"/>
  <c r="F2" i="3" l="1"/>
  <c r="U20" i="3" l="1"/>
  <c r="U21" i="3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2" i="3"/>
  <c r="F4" i="3" l="1"/>
  <c r="I3" i="3"/>
  <c r="H3" i="3" s="1"/>
  <c r="I11" i="3"/>
  <c r="H11" i="3" s="1"/>
  <c r="I6" i="3"/>
  <c r="H6" i="3" s="1"/>
  <c r="I14" i="3"/>
  <c r="H14" i="3" s="1"/>
  <c r="I17" i="3"/>
  <c r="H17" i="3" s="1"/>
  <c r="I4" i="3"/>
  <c r="H4" i="3" s="1"/>
  <c r="I9" i="3"/>
  <c r="H9" i="3" s="1"/>
  <c r="I12" i="3"/>
  <c r="H12" i="3" s="1"/>
  <c r="I5" i="3"/>
  <c r="H5" i="3" s="1"/>
  <c r="I7" i="3"/>
  <c r="H7" i="3" s="1"/>
  <c r="I15" i="3"/>
  <c r="H15" i="3" s="1"/>
  <c r="I18" i="3"/>
  <c r="H18" i="3" s="1"/>
  <c r="I16" i="3"/>
  <c r="H16" i="3" s="1"/>
  <c r="I13" i="3"/>
  <c r="H13" i="3" s="1"/>
  <c r="I8" i="3"/>
  <c r="H8" i="3" s="1"/>
  <c r="I10" i="3"/>
  <c r="H10" i="3" s="1"/>
  <c r="I19" i="3"/>
  <c r="H19" i="3" s="1"/>
  <c r="J3" i="3"/>
  <c r="J11" i="3"/>
  <c r="J15" i="3"/>
  <c r="J6" i="3"/>
  <c r="J14" i="3"/>
  <c r="J12" i="3"/>
  <c r="J13" i="3"/>
  <c r="J17" i="3"/>
  <c r="J18" i="3"/>
  <c r="J4" i="3"/>
  <c r="J9" i="3"/>
  <c r="J7" i="3"/>
  <c r="J10" i="3"/>
  <c r="R10" i="3" s="1"/>
  <c r="J5" i="3"/>
  <c r="J8" i="3"/>
  <c r="J16" i="3"/>
  <c r="J19" i="3"/>
  <c r="P16" i="3"/>
  <c r="P19" i="3"/>
  <c r="P7" i="3"/>
  <c r="P8" i="3"/>
  <c r="P18" i="3"/>
  <c r="P11" i="3"/>
  <c r="P12" i="3"/>
  <c r="P14" i="3"/>
  <c r="P15" i="3"/>
  <c r="P6" i="3"/>
  <c r="P17" i="3"/>
  <c r="P9" i="3"/>
  <c r="P4" i="3"/>
  <c r="P5" i="3"/>
  <c r="P10" i="3"/>
  <c r="P13" i="3"/>
  <c r="U22" i="3"/>
  <c r="U23" i="3" s="1"/>
  <c r="J20" i="3"/>
  <c r="J23" i="3"/>
  <c r="I26" i="3"/>
  <c r="H26" i="3" s="1"/>
  <c r="I25" i="3"/>
  <c r="H25" i="3" s="1"/>
  <c r="J26" i="3"/>
  <c r="I22" i="3"/>
  <c r="H22" i="3" s="1"/>
  <c r="J25" i="3"/>
  <c r="J22" i="3"/>
  <c r="I24" i="3"/>
  <c r="H24" i="3" s="1"/>
  <c r="I21" i="3"/>
  <c r="H21" i="3" s="1"/>
  <c r="J24" i="3"/>
  <c r="I27" i="3"/>
  <c r="H27" i="3" s="1"/>
  <c r="J21" i="3"/>
  <c r="J27" i="3"/>
  <c r="H23" i="3"/>
  <c r="I20" i="3"/>
  <c r="H20" i="3" s="1"/>
  <c r="I23" i="3"/>
  <c r="I30" i="3"/>
  <c r="H30" i="3" s="1"/>
  <c r="I38" i="3"/>
  <c r="H38" i="3" s="1"/>
  <c r="I46" i="3"/>
  <c r="H46" i="3" s="1"/>
  <c r="I54" i="3"/>
  <c r="H54" i="3" s="1"/>
  <c r="I62" i="3"/>
  <c r="H62" i="3" s="1"/>
  <c r="I70" i="3"/>
  <c r="H70" i="3" s="1"/>
  <c r="I78" i="3"/>
  <c r="H78" i="3" s="1"/>
  <c r="I86" i="3"/>
  <c r="H86" i="3" s="1"/>
  <c r="I94" i="3"/>
  <c r="H94" i="3" s="1"/>
  <c r="I102" i="3"/>
  <c r="H102" i="3" s="1"/>
  <c r="J31" i="3"/>
  <c r="J39" i="3"/>
  <c r="J47" i="3"/>
  <c r="J55" i="3"/>
  <c r="J63" i="3"/>
  <c r="J71" i="3"/>
  <c r="J79" i="3"/>
  <c r="J87" i="3"/>
  <c r="J95" i="3"/>
  <c r="J103" i="3"/>
  <c r="I31" i="3"/>
  <c r="H31" i="3" s="1"/>
  <c r="I39" i="3"/>
  <c r="H39" i="3" s="1"/>
  <c r="I47" i="3"/>
  <c r="H47" i="3" s="1"/>
  <c r="I55" i="3"/>
  <c r="H55" i="3" s="1"/>
  <c r="I63" i="3"/>
  <c r="H63" i="3" s="1"/>
  <c r="I71" i="3"/>
  <c r="H71" i="3" s="1"/>
  <c r="I79" i="3"/>
  <c r="H79" i="3" s="1"/>
  <c r="I87" i="3"/>
  <c r="H87" i="3" s="1"/>
  <c r="I95" i="3"/>
  <c r="H95" i="3" s="1"/>
  <c r="I103" i="3"/>
  <c r="H103" i="3" s="1"/>
  <c r="J32" i="3"/>
  <c r="J40" i="3"/>
  <c r="J48" i="3"/>
  <c r="J56" i="3"/>
  <c r="J64" i="3"/>
  <c r="J72" i="3"/>
  <c r="J80" i="3"/>
  <c r="J88" i="3"/>
  <c r="J96" i="3"/>
  <c r="J104" i="3"/>
  <c r="I32" i="3"/>
  <c r="H32" i="3" s="1"/>
  <c r="I40" i="3"/>
  <c r="H40" i="3" s="1"/>
  <c r="I48" i="3"/>
  <c r="H48" i="3" s="1"/>
  <c r="I56" i="3"/>
  <c r="H56" i="3" s="1"/>
  <c r="I64" i="3"/>
  <c r="H64" i="3" s="1"/>
  <c r="I72" i="3"/>
  <c r="H72" i="3" s="1"/>
  <c r="I80" i="3"/>
  <c r="H80" i="3" s="1"/>
  <c r="I88" i="3"/>
  <c r="H88" i="3" s="1"/>
  <c r="I96" i="3"/>
  <c r="H96" i="3" s="1"/>
  <c r="I104" i="3"/>
  <c r="H104" i="3" s="1"/>
  <c r="P68" i="3"/>
  <c r="P76" i="3"/>
  <c r="P84" i="3"/>
  <c r="P92" i="3"/>
  <c r="J33" i="3"/>
  <c r="J41" i="3"/>
  <c r="J49" i="3"/>
  <c r="J57" i="3"/>
  <c r="J65" i="3"/>
  <c r="J73" i="3"/>
  <c r="J81" i="3"/>
  <c r="J89" i="3"/>
  <c r="J97" i="3"/>
  <c r="I34" i="3"/>
  <c r="H34" i="3" s="1"/>
  <c r="I42" i="3"/>
  <c r="H42" i="3" s="1"/>
  <c r="I50" i="3"/>
  <c r="H50" i="3" s="1"/>
  <c r="I58" i="3"/>
  <c r="H58" i="3" s="1"/>
  <c r="I66" i="3"/>
  <c r="H66" i="3" s="1"/>
  <c r="I74" i="3"/>
  <c r="H74" i="3" s="1"/>
  <c r="I82" i="3"/>
  <c r="H82" i="3" s="1"/>
  <c r="I90" i="3"/>
  <c r="H90" i="3" s="1"/>
  <c r="I98" i="3"/>
  <c r="H98" i="3" s="1"/>
  <c r="J35" i="3"/>
  <c r="J43" i="3"/>
  <c r="J51" i="3"/>
  <c r="J59" i="3"/>
  <c r="J67" i="3"/>
  <c r="J75" i="3"/>
  <c r="J83" i="3"/>
  <c r="J91" i="3"/>
  <c r="J99" i="3"/>
  <c r="I35" i="3"/>
  <c r="H35" i="3" s="1"/>
  <c r="I43" i="3"/>
  <c r="H43" i="3" s="1"/>
  <c r="I51" i="3"/>
  <c r="H51" i="3" s="1"/>
  <c r="I59" i="3"/>
  <c r="H59" i="3" s="1"/>
  <c r="I67" i="3"/>
  <c r="H67" i="3" s="1"/>
  <c r="I75" i="3"/>
  <c r="H75" i="3" s="1"/>
  <c r="I83" i="3"/>
  <c r="H83" i="3" s="1"/>
  <c r="I91" i="3"/>
  <c r="H91" i="3" s="1"/>
  <c r="I99" i="3"/>
  <c r="H99" i="3" s="1"/>
  <c r="J28" i="3"/>
  <c r="J36" i="3"/>
  <c r="J44" i="3"/>
  <c r="J52" i="3"/>
  <c r="J60" i="3"/>
  <c r="J68" i="3"/>
  <c r="J76" i="3"/>
  <c r="J84" i="3"/>
  <c r="J92" i="3"/>
  <c r="J100" i="3"/>
  <c r="I28" i="3"/>
  <c r="H28" i="3" s="1"/>
  <c r="I36" i="3"/>
  <c r="H36" i="3" s="1"/>
  <c r="I44" i="3"/>
  <c r="H44" i="3" s="1"/>
  <c r="I52" i="3"/>
  <c r="H52" i="3" s="1"/>
  <c r="I60" i="3"/>
  <c r="H60" i="3" s="1"/>
  <c r="I68" i="3"/>
  <c r="H68" i="3" s="1"/>
  <c r="I76" i="3"/>
  <c r="H76" i="3" s="1"/>
  <c r="I84" i="3"/>
  <c r="H84" i="3" s="1"/>
  <c r="I92" i="3"/>
  <c r="H92" i="3" s="1"/>
  <c r="K92" i="3" s="1"/>
  <c r="I100" i="3"/>
  <c r="H100" i="3" s="1"/>
  <c r="P72" i="3"/>
  <c r="P80" i="3"/>
  <c r="P88" i="3"/>
  <c r="P96" i="3"/>
  <c r="P104" i="3"/>
  <c r="I45" i="3"/>
  <c r="H45" i="3" s="1"/>
  <c r="I77" i="3"/>
  <c r="H77" i="3" s="1"/>
  <c r="P105" i="3"/>
  <c r="J38" i="3"/>
  <c r="J61" i="3"/>
  <c r="J82" i="3"/>
  <c r="J102" i="3"/>
  <c r="R102" i="3" s="1"/>
  <c r="I49" i="3"/>
  <c r="H49" i="3" s="1"/>
  <c r="I81" i="3"/>
  <c r="H81" i="3" s="1"/>
  <c r="J42" i="3"/>
  <c r="J62" i="3"/>
  <c r="J85" i="3"/>
  <c r="J105" i="3"/>
  <c r="I53" i="3"/>
  <c r="H53" i="3" s="1"/>
  <c r="I85" i="3"/>
  <c r="H85" i="3" s="1"/>
  <c r="K85" i="3" s="1"/>
  <c r="P81" i="3"/>
  <c r="J45" i="3"/>
  <c r="J66" i="3"/>
  <c r="J86" i="3"/>
  <c r="R86" i="3" s="1"/>
  <c r="I57" i="3"/>
  <c r="H57" i="3" s="1"/>
  <c r="I89" i="3"/>
  <c r="H89" i="3" s="1"/>
  <c r="J46" i="3"/>
  <c r="J69" i="3"/>
  <c r="J90" i="3"/>
  <c r="I105" i="3"/>
  <c r="H105" i="3" s="1"/>
  <c r="P101" i="3"/>
  <c r="J37" i="3"/>
  <c r="J78" i="3"/>
  <c r="R78" i="3" s="1"/>
  <c r="I29" i="3"/>
  <c r="H29" i="3" s="1"/>
  <c r="I61" i="3"/>
  <c r="H61" i="3" s="1"/>
  <c r="I93" i="3"/>
  <c r="H93" i="3" s="1"/>
  <c r="P89" i="3"/>
  <c r="J29" i="3"/>
  <c r="J50" i="3"/>
  <c r="J70" i="3"/>
  <c r="J93" i="3"/>
  <c r="I33" i="3"/>
  <c r="H33" i="3" s="1"/>
  <c r="I65" i="3"/>
  <c r="H65" i="3" s="1"/>
  <c r="I97" i="3"/>
  <c r="H97" i="3" s="1"/>
  <c r="P93" i="3"/>
  <c r="J30" i="3"/>
  <c r="J53" i="3"/>
  <c r="J74" i="3"/>
  <c r="R74" i="3" s="1"/>
  <c r="J94" i="3"/>
  <c r="R94" i="3" s="1"/>
  <c r="I37" i="3"/>
  <c r="H37" i="3" s="1"/>
  <c r="I69" i="3"/>
  <c r="H69" i="3" s="1"/>
  <c r="I101" i="3"/>
  <c r="H101" i="3" s="1"/>
  <c r="P97" i="3"/>
  <c r="J34" i="3"/>
  <c r="J54" i="3"/>
  <c r="J77" i="3"/>
  <c r="J98" i="3"/>
  <c r="R98" i="3" s="1"/>
  <c r="I41" i="3"/>
  <c r="H41" i="3" s="1"/>
  <c r="I73" i="3"/>
  <c r="H73" i="3" s="1"/>
  <c r="J58" i="3"/>
  <c r="J101" i="3"/>
  <c r="K4" i="3" l="1"/>
  <c r="R7" i="3"/>
  <c r="K19" i="3"/>
  <c r="K17" i="3"/>
  <c r="U24" i="3"/>
  <c r="R9" i="3"/>
  <c r="S9" i="3" s="1"/>
  <c r="S10" i="3"/>
  <c r="K10" i="3"/>
  <c r="K14" i="3"/>
  <c r="R4" i="3"/>
  <c r="T4" i="3" s="1"/>
  <c r="K8" i="3"/>
  <c r="K6" i="3"/>
  <c r="R18" i="3"/>
  <c r="T18" i="3" s="1"/>
  <c r="K13" i="3"/>
  <c r="K11" i="3"/>
  <c r="R77" i="3"/>
  <c r="S77" i="3" s="1"/>
  <c r="R70" i="3"/>
  <c r="T70" i="3" s="1"/>
  <c r="R82" i="3"/>
  <c r="S82" i="3" s="1"/>
  <c r="R17" i="3"/>
  <c r="S17" i="3" s="1"/>
  <c r="K16" i="3"/>
  <c r="K3" i="3"/>
  <c r="L3" i="3" s="1"/>
  <c r="P3" i="3"/>
  <c r="Q3" i="3" s="1"/>
  <c r="R13" i="3"/>
  <c r="S13" i="3" s="1"/>
  <c r="K18" i="3"/>
  <c r="R12" i="3"/>
  <c r="S12" i="3" s="1"/>
  <c r="K15" i="3"/>
  <c r="R19" i="3"/>
  <c r="S19" i="3" s="1"/>
  <c r="R14" i="3"/>
  <c r="T14" i="3" s="1"/>
  <c r="S7" i="3"/>
  <c r="K7" i="3"/>
  <c r="R3" i="3"/>
  <c r="S3" i="3" s="1"/>
  <c r="R90" i="3"/>
  <c r="T90" i="3" s="1"/>
  <c r="P77" i="3"/>
  <c r="R22" i="3"/>
  <c r="S22" i="3" s="1"/>
  <c r="R23" i="3"/>
  <c r="T23" i="3" s="1"/>
  <c r="R16" i="3"/>
  <c r="S16" i="3" s="1"/>
  <c r="R6" i="3"/>
  <c r="S6" i="3" s="1"/>
  <c r="K5" i="3"/>
  <c r="R101" i="3"/>
  <c r="S101" i="3" s="1"/>
  <c r="R84" i="3"/>
  <c r="S84" i="3" s="1"/>
  <c r="P100" i="3"/>
  <c r="R8" i="3"/>
  <c r="S8" i="3" s="1"/>
  <c r="R15" i="3"/>
  <c r="S15" i="3" s="1"/>
  <c r="K12" i="3"/>
  <c r="R21" i="3"/>
  <c r="R20" i="3"/>
  <c r="T20" i="3" s="1"/>
  <c r="R5" i="3"/>
  <c r="T5" i="3" s="1"/>
  <c r="R11" i="3"/>
  <c r="S11" i="3" s="1"/>
  <c r="K9" i="3"/>
  <c r="K61" i="3"/>
  <c r="K39" i="3"/>
  <c r="K29" i="3"/>
  <c r="K45" i="3"/>
  <c r="K67" i="3"/>
  <c r="K50" i="3"/>
  <c r="P64" i="3"/>
  <c r="K40" i="3"/>
  <c r="P54" i="3"/>
  <c r="K31" i="3"/>
  <c r="P45" i="3"/>
  <c r="P36" i="3"/>
  <c r="P31" i="3"/>
  <c r="P53" i="3"/>
  <c r="K37" i="3"/>
  <c r="K53" i="3"/>
  <c r="K59" i="3"/>
  <c r="K42" i="3"/>
  <c r="P56" i="3"/>
  <c r="K32" i="3"/>
  <c r="P46" i="3"/>
  <c r="P37" i="3"/>
  <c r="P28" i="3"/>
  <c r="P47" i="3"/>
  <c r="P62" i="3"/>
  <c r="P44" i="3"/>
  <c r="P43" i="3"/>
  <c r="P39" i="3"/>
  <c r="P59" i="3"/>
  <c r="K60" i="3"/>
  <c r="K51" i="3"/>
  <c r="P65" i="3"/>
  <c r="K34" i="3"/>
  <c r="P48" i="3"/>
  <c r="P38" i="3"/>
  <c r="P29" i="3"/>
  <c r="K57" i="3"/>
  <c r="K30" i="3"/>
  <c r="P51" i="3"/>
  <c r="P67" i="3"/>
  <c r="K52" i="3"/>
  <c r="P66" i="3"/>
  <c r="K43" i="3"/>
  <c r="P57" i="3"/>
  <c r="P40" i="3"/>
  <c r="P30" i="3"/>
  <c r="P25" i="3"/>
  <c r="K48" i="3"/>
  <c r="K65" i="3"/>
  <c r="P35" i="3"/>
  <c r="K49" i="3"/>
  <c r="K44" i="3"/>
  <c r="P58" i="3"/>
  <c r="K35" i="3"/>
  <c r="P49" i="3"/>
  <c r="P32" i="3"/>
  <c r="K63" i="3"/>
  <c r="K54" i="3"/>
  <c r="K21" i="3"/>
  <c r="P55" i="3"/>
  <c r="K58" i="3"/>
  <c r="K33" i="3"/>
  <c r="K36" i="3"/>
  <c r="P50" i="3"/>
  <c r="P41" i="3"/>
  <c r="K64" i="3"/>
  <c r="K55" i="3"/>
  <c r="K46" i="3"/>
  <c r="P60" i="3"/>
  <c r="K25" i="3"/>
  <c r="P34" i="3"/>
  <c r="K41" i="3"/>
  <c r="P63" i="3"/>
  <c r="K28" i="3"/>
  <c r="P42" i="3"/>
  <c r="P33" i="3"/>
  <c r="K66" i="3"/>
  <c r="K56" i="3"/>
  <c r="K47" i="3"/>
  <c r="P61" i="3"/>
  <c r="K38" i="3"/>
  <c r="P52" i="3"/>
  <c r="K69" i="3"/>
  <c r="P75" i="3"/>
  <c r="P71" i="3"/>
  <c r="P91" i="3"/>
  <c r="K68" i="3"/>
  <c r="P82" i="3"/>
  <c r="T82" i="3"/>
  <c r="R92" i="3"/>
  <c r="S92" i="3" s="1"/>
  <c r="R28" i="3"/>
  <c r="S28" i="3" s="1"/>
  <c r="P73" i="3"/>
  <c r="R83" i="3"/>
  <c r="S83" i="3" s="1"/>
  <c r="R65" i="3"/>
  <c r="T65" i="3" s="1"/>
  <c r="K96" i="3"/>
  <c r="R64" i="3"/>
  <c r="T64" i="3" s="1"/>
  <c r="K87" i="3"/>
  <c r="R55" i="3"/>
  <c r="S55" i="3" s="1"/>
  <c r="S78" i="3"/>
  <c r="K78" i="3"/>
  <c r="P27" i="3"/>
  <c r="P26" i="3"/>
  <c r="R26" i="3"/>
  <c r="T26" i="3" s="1"/>
  <c r="R69" i="3"/>
  <c r="S69" i="3" s="1"/>
  <c r="P99" i="3"/>
  <c r="R61" i="3"/>
  <c r="S61" i="3" s="1"/>
  <c r="P74" i="3"/>
  <c r="T74" i="3"/>
  <c r="R75" i="3"/>
  <c r="S75" i="3" s="1"/>
  <c r="K98" i="3"/>
  <c r="S98" i="3"/>
  <c r="R57" i="3"/>
  <c r="T57" i="3" s="1"/>
  <c r="P102" i="3"/>
  <c r="T102" i="3"/>
  <c r="R56" i="3"/>
  <c r="T56" i="3" s="1"/>
  <c r="K79" i="3"/>
  <c r="R47" i="3"/>
  <c r="T47" i="3" s="1"/>
  <c r="K70" i="3"/>
  <c r="R27" i="3"/>
  <c r="T27" i="3" s="1"/>
  <c r="K27" i="3"/>
  <c r="R25" i="3"/>
  <c r="T25" i="3" s="1"/>
  <c r="K73" i="3"/>
  <c r="P83" i="3"/>
  <c r="R50" i="3"/>
  <c r="S50" i="3" s="1"/>
  <c r="R58" i="3"/>
  <c r="T58" i="3" s="1"/>
  <c r="R34" i="3"/>
  <c r="T34" i="3" s="1"/>
  <c r="K97" i="3"/>
  <c r="R29" i="3"/>
  <c r="S29" i="3" s="1"/>
  <c r="R46" i="3"/>
  <c r="S46" i="3" s="1"/>
  <c r="K81" i="3"/>
  <c r="R38" i="3"/>
  <c r="T38" i="3" s="1"/>
  <c r="R76" i="3"/>
  <c r="T76" i="3" s="1"/>
  <c r="R67" i="3"/>
  <c r="T67" i="3" s="1"/>
  <c r="K90" i="3"/>
  <c r="R49" i="3"/>
  <c r="S49" i="3" s="1"/>
  <c r="P94" i="3"/>
  <c r="T94" i="3"/>
  <c r="R48" i="3"/>
  <c r="S48" i="3" s="1"/>
  <c r="K71" i="3"/>
  <c r="P85" i="3"/>
  <c r="R103" i="3"/>
  <c r="S103" i="3" s="1"/>
  <c r="R39" i="3"/>
  <c r="T39" i="3" s="1"/>
  <c r="K24" i="3"/>
  <c r="P23" i="3"/>
  <c r="R54" i="3"/>
  <c r="T54" i="3" s="1"/>
  <c r="R37" i="3"/>
  <c r="S37" i="3" s="1"/>
  <c r="R66" i="3"/>
  <c r="T66" i="3" s="1"/>
  <c r="R68" i="3"/>
  <c r="S68" i="3" s="1"/>
  <c r="K99" i="3"/>
  <c r="R59" i="3"/>
  <c r="T59" i="3" s="1"/>
  <c r="K82" i="3"/>
  <c r="R41" i="3"/>
  <c r="S41" i="3" s="1"/>
  <c r="P86" i="3"/>
  <c r="T86" i="3"/>
  <c r="R104" i="3"/>
  <c r="T104" i="3" s="1"/>
  <c r="R40" i="3"/>
  <c r="T40" i="3" s="1"/>
  <c r="R95" i="3"/>
  <c r="T95" i="3" s="1"/>
  <c r="R31" i="3"/>
  <c r="S31" i="3" s="1"/>
  <c r="K23" i="3"/>
  <c r="P24" i="3"/>
  <c r="R24" i="3"/>
  <c r="S24" i="3" s="1"/>
  <c r="K22" i="3"/>
  <c r="P20" i="3"/>
  <c r="R45" i="3"/>
  <c r="S45" i="3" s="1"/>
  <c r="R105" i="3"/>
  <c r="T105" i="3" s="1"/>
  <c r="P95" i="3"/>
  <c r="K100" i="3"/>
  <c r="R60" i="3"/>
  <c r="S60" i="3" s="1"/>
  <c r="K91" i="3"/>
  <c r="R51" i="3"/>
  <c r="S51" i="3" s="1"/>
  <c r="K74" i="3"/>
  <c r="S74" i="3"/>
  <c r="R97" i="3"/>
  <c r="T97" i="3" s="1"/>
  <c r="R33" i="3"/>
  <c r="S33" i="3" s="1"/>
  <c r="P78" i="3"/>
  <c r="T78" i="3"/>
  <c r="R96" i="3"/>
  <c r="S96" i="3" s="1"/>
  <c r="R32" i="3"/>
  <c r="S32" i="3" s="1"/>
  <c r="P69" i="3"/>
  <c r="R87" i="3"/>
  <c r="S87" i="3" s="1"/>
  <c r="K62" i="3"/>
  <c r="P21" i="3"/>
  <c r="T9" i="3"/>
  <c r="T10" i="3"/>
  <c r="P22" i="3"/>
  <c r="T6" i="3"/>
  <c r="R53" i="3"/>
  <c r="S53" i="3" s="1"/>
  <c r="P79" i="3"/>
  <c r="K93" i="3"/>
  <c r="K89" i="3"/>
  <c r="R85" i="3"/>
  <c r="S85" i="3" s="1"/>
  <c r="R52" i="3"/>
  <c r="S52" i="3" s="1"/>
  <c r="K83" i="3"/>
  <c r="R43" i="3"/>
  <c r="T43" i="3" s="1"/>
  <c r="R89" i="3"/>
  <c r="T89" i="3" s="1"/>
  <c r="P70" i="3"/>
  <c r="K88" i="3"/>
  <c r="R88" i="3"/>
  <c r="S88" i="3" s="1"/>
  <c r="R79" i="3"/>
  <c r="S79" i="3" s="1"/>
  <c r="K102" i="3"/>
  <c r="S102" i="3"/>
  <c r="K20" i="3"/>
  <c r="T21" i="3"/>
  <c r="K101" i="3"/>
  <c r="R30" i="3"/>
  <c r="S30" i="3" s="1"/>
  <c r="K105" i="3"/>
  <c r="S105" i="3"/>
  <c r="R62" i="3"/>
  <c r="T62" i="3" s="1"/>
  <c r="K77" i="3"/>
  <c r="K84" i="3"/>
  <c r="P98" i="3"/>
  <c r="T98" i="3"/>
  <c r="R44" i="3"/>
  <c r="T44" i="3" s="1"/>
  <c r="K75" i="3"/>
  <c r="R99" i="3"/>
  <c r="T99" i="3" s="1"/>
  <c r="R35" i="3"/>
  <c r="T35" i="3" s="1"/>
  <c r="R81" i="3"/>
  <c r="T81" i="3" s="1"/>
  <c r="K80" i="3"/>
  <c r="R80" i="3"/>
  <c r="S80" i="3" s="1"/>
  <c r="K103" i="3"/>
  <c r="R71" i="3"/>
  <c r="S71" i="3" s="1"/>
  <c r="K94" i="3"/>
  <c r="S94" i="3"/>
  <c r="T7" i="3"/>
  <c r="R93" i="3"/>
  <c r="S93" i="3" s="1"/>
  <c r="P87" i="3"/>
  <c r="P103" i="3"/>
  <c r="R42" i="3"/>
  <c r="S42" i="3" s="1"/>
  <c r="K76" i="3"/>
  <c r="P90" i="3"/>
  <c r="R100" i="3"/>
  <c r="T100" i="3" s="1"/>
  <c r="R36" i="3"/>
  <c r="T36" i="3" s="1"/>
  <c r="R91" i="3"/>
  <c r="S91" i="3" s="1"/>
  <c r="R73" i="3"/>
  <c r="T73" i="3" s="1"/>
  <c r="K104" i="3"/>
  <c r="K72" i="3"/>
  <c r="R72" i="3"/>
  <c r="S72" i="3" s="1"/>
  <c r="K95" i="3"/>
  <c r="R63" i="3"/>
  <c r="S63" i="3" s="1"/>
  <c r="K86" i="3"/>
  <c r="S86" i="3"/>
  <c r="K26" i="3"/>
  <c r="S89" i="3" l="1"/>
  <c r="T30" i="3"/>
  <c r="S4" i="3"/>
  <c r="S20" i="3"/>
  <c r="T101" i="3"/>
  <c r="T83" i="3"/>
  <c r="S70" i="3"/>
  <c r="T84" i="3"/>
  <c r="S44" i="3"/>
  <c r="S76" i="3"/>
  <c r="S23" i="3"/>
  <c r="T92" i="3"/>
  <c r="S90" i="3"/>
  <c r="T12" i="3"/>
  <c r="T32" i="3"/>
  <c r="S5" i="3"/>
  <c r="S18" i="3"/>
  <c r="T75" i="3"/>
  <c r="S14" i="3"/>
  <c r="T28" i="3"/>
  <c r="T87" i="3"/>
  <c r="T79" i="3"/>
  <c r="T68" i="3"/>
  <c r="T61" i="3"/>
  <c r="T37" i="3"/>
  <c r="S39" i="3"/>
  <c r="Q4" i="3"/>
  <c r="T3" i="3"/>
  <c r="T69" i="3"/>
  <c r="S47" i="3"/>
  <c r="L4" i="3"/>
  <c r="S104" i="3"/>
  <c r="S26" i="3"/>
  <c r="T77" i="3"/>
  <c r="U25" i="3"/>
  <c r="S64" i="3"/>
  <c r="S40" i="3"/>
  <c r="S73" i="3"/>
  <c r="T15" i="3"/>
  <c r="T29" i="3"/>
  <c r="S62" i="3"/>
  <c r="S36" i="3"/>
  <c r="S43" i="3"/>
  <c r="T11" i="3"/>
  <c r="S67" i="3"/>
  <c r="T8" i="3"/>
  <c r="T22" i="3"/>
  <c r="T96" i="3"/>
  <c r="S81" i="3"/>
  <c r="T91" i="3"/>
  <c r="T52" i="3"/>
  <c r="S56" i="3"/>
  <c r="S25" i="3"/>
  <c r="T60" i="3"/>
  <c r="T41" i="3"/>
  <c r="S58" i="3"/>
  <c r="S54" i="3"/>
  <c r="S35" i="3"/>
  <c r="S57" i="3"/>
  <c r="T48" i="3"/>
  <c r="T46" i="3"/>
  <c r="S59" i="3"/>
  <c r="T53" i="3"/>
  <c r="T45" i="3"/>
  <c r="T85" i="3"/>
  <c r="S27" i="3"/>
  <c r="T71" i="3"/>
  <c r="S38" i="3"/>
  <c r="S66" i="3"/>
  <c r="T63" i="3"/>
  <c r="T50" i="3"/>
  <c r="T55" i="3"/>
  <c r="S65" i="3"/>
  <c r="T13" i="3"/>
  <c r="S34" i="3"/>
  <c r="T31" i="3"/>
  <c r="T93" i="3"/>
  <c r="T16" i="3"/>
  <c r="S95" i="3"/>
  <c r="T103" i="3"/>
  <c r="T72" i="3"/>
  <c r="T88" i="3"/>
  <c r="S100" i="3"/>
  <c r="T24" i="3"/>
  <c r="T19" i="3"/>
  <c r="S21" i="3"/>
  <c r="T80" i="3"/>
  <c r="T33" i="3"/>
  <c r="T51" i="3"/>
  <c r="S99" i="3"/>
  <c r="S97" i="3"/>
  <c r="T17" i="3"/>
  <c r="T42" i="3"/>
  <c r="T49" i="3"/>
  <c r="Q5" i="3" l="1"/>
  <c r="U26" i="3"/>
  <c r="L5" i="3"/>
  <c r="L6" i="3" l="1"/>
  <c r="U27" i="3"/>
  <c r="Q6" i="3"/>
  <c r="Q7" i="3" l="1"/>
  <c r="U28" i="3"/>
  <c r="L7" i="3"/>
  <c r="Q8" i="3" l="1"/>
  <c r="U29" i="3"/>
  <c r="L8" i="3"/>
  <c r="Q9" i="3" l="1"/>
  <c r="W20" i="3"/>
  <c r="L9" i="3"/>
  <c r="V20" i="3"/>
  <c r="U30" i="3"/>
  <c r="U31" i="3" s="1"/>
  <c r="Q10" i="3" l="1"/>
  <c r="W21" i="3"/>
  <c r="W22" i="3" s="1"/>
  <c r="U32" i="3"/>
  <c r="L10" i="3"/>
  <c r="V21" i="3"/>
  <c r="V22" i="3" s="1"/>
  <c r="Q11" i="3" l="1"/>
  <c r="W23" i="3"/>
  <c r="W24" i="3" s="1"/>
  <c r="L11" i="3"/>
  <c r="V23" i="3"/>
  <c r="V24" i="3" s="1"/>
  <c r="U33" i="3"/>
  <c r="Q12" i="3" l="1"/>
  <c r="W25" i="3"/>
  <c r="W26" i="3" s="1"/>
  <c r="U34" i="3"/>
  <c r="U35" i="3" s="1"/>
  <c r="L12" i="3"/>
  <c r="V25" i="3"/>
  <c r="V26" i="3" s="1"/>
  <c r="Q13" i="3" l="1"/>
  <c r="W27" i="3"/>
  <c r="W28" i="3" s="1"/>
  <c r="L13" i="3"/>
  <c r="V27" i="3"/>
  <c r="V28" i="3" s="1"/>
  <c r="U36" i="3"/>
  <c r="U37" i="3" l="1"/>
  <c r="L14" i="3"/>
  <c r="V29" i="3"/>
  <c r="V30" i="3" s="1"/>
  <c r="Q14" i="3"/>
  <c r="W29" i="3"/>
  <c r="W30" i="3" s="1"/>
  <c r="Q15" i="3" l="1"/>
  <c r="W31" i="3"/>
  <c r="W32" i="3" s="1"/>
  <c r="L15" i="3"/>
  <c r="V31" i="3"/>
  <c r="V32" i="3" s="1"/>
  <c r="U38" i="3"/>
  <c r="U39" i="3" s="1"/>
  <c r="U40" i="3" l="1"/>
  <c r="L16" i="3"/>
  <c r="V33" i="3"/>
  <c r="V34" i="3" s="1"/>
  <c r="Q16" i="3"/>
  <c r="W33" i="3"/>
  <c r="W34" i="3" s="1"/>
  <c r="L17" i="3" l="1"/>
  <c r="V35" i="3"/>
  <c r="V36" i="3" s="1"/>
  <c r="Q17" i="3"/>
  <c r="W35" i="3"/>
  <c r="W36" i="3" s="1"/>
  <c r="U41" i="3"/>
  <c r="U42" i="3" l="1"/>
  <c r="Q18" i="3"/>
  <c r="W37" i="3"/>
  <c r="W38" i="3" s="1"/>
  <c r="L18" i="3"/>
  <c r="V37" i="3"/>
  <c r="V38" i="3" s="1"/>
  <c r="L19" i="3" l="1"/>
  <c r="V39" i="3"/>
  <c r="V40" i="3" s="1"/>
  <c r="Q19" i="3"/>
  <c r="W39" i="3"/>
  <c r="W40" i="3" s="1"/>
  <c r="U43" i="3"/>
  <c r="U44" i="3" l="1"/>
  <c r="Q20" i="3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Q85" i="3" s="1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W41" i="3"/>
  <c r="W42" i="3" s="1"/>
  <c r="L20" i="3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V41" i="3"/>
  <c r="V42" i="3" s="1"/>
  <c r="W43" i="3" l="1"/>
  <c r="W44" i="3" s="1"/>
  <c r="V43" i="3"/>
  <c r="V44" i="3" s="1"/>
  <c r="U45" i="3"/>
  <c r="U46" i="3" l="1"/>
  <c r="U47" i="3" s="1"/>
  <c r="V45" i="3"/>
  <c r="V46" i="3" s="1"/>
  <c r="W45" i="3"/>
  <c r="W46" i="3" s="1"/>
  <c r="U48" i="3" l="1"/>
  <c r="W47" i="3"/>
  <c r="W48" i="3" s="1"/>
  <c r="V47" i="3"/>
  <c r="U49" i="3" l="1"/>
  <c r="V48" i="3"/>
  <c r="U50" i="3" l="1"/>
  <c r="V49" i="3"/>
  <c r="W49" i="3"/>
  <c r="W50" i="3" s="1"/>
  <c r="U51" i="3" l="1"/>
  <c r="V50" i="3"/>
  <c r="U52" i="3" l="1"/>
  <c r="U53" i="3" s="1"/>
  <c r="V51" i="3"/>
  <c r="V52" i="3" s="1"/>
  <c r="W51" i="3"/>
  <c r="W52" i="3" s="1"/>
  <c r="U54" i="3" l="1"/>
  <c r="U55" i="3" s="1"/>
  <c r="V53" i="3"/>
  <c r="V54" i="3" s="1"/>
  <c r="W53" i="3"/>
  <c r="W54" i="3" s="1"/>
  <c r="U56" i="3" l="1"/>
  <c r="V55" i="3"/>
  <c r="V56" i="3" s="1"/>
  <c r="W55" i="3"/>
  <c r="U57" i="3" l="1"/>
  <c r="W56" i="3"/>
  <c r="U58" i="3" l="1"/>
  <c r="V57" i="3"/>
  <c r="W57" i="3"/>
  <c r="W58" i="3" s="1"/>
  <c r="U59" i="3" l="1"/>
  <c r="V58" i="3"/>
  <c r="U60" i="3" l="1"/>
  <c r="V59" i="3"/>
  <c r="V60" i="3" s="1"/>
  <c r="W59" i="3"/>
  <c r="U61" i="3" l="1"/>
  <c r="W60" i="3"/>
  <c r="U62" i="3" l="1"/>
  <c r="U63" i="3" s="1"/>
  <c r="W61" i="3"/>
  <c r="W62" i="3" s="1"/>
  <c r="V61" i="3"/>
  <c r="V62" i="3" s="1"/>
  <c r="U64" i="3" l="1"/>
  <c r="W63" i="3"/>
  <c r="V63" i="3"/>
  <c r="U65" i="3" l="1"/>
  <c r="W64" i="3"/>
  <c r="V64" i="3"/>
  <c r="U66" i="3" l="1"/>
  <c r="U67" i="3" s="1"/>
  <c r="W65" i="3"/>
  <c r="W66" i="3" s="1"/>
  <c r="V65" i="3"/>
  <c r="V66" i="3" s="1"/>
  <c r="U68" i="3" l="1"/>
  <c r="U69" i="3" s="1"/>
  <c r="V67" i="3"/>
  <c r="V68" i="3" s="1"/>
  <c r="W67" i="3"/>
  <c r="W68" i="3" s="1"/>
  <c r="U70" i="3" l="1"/>
  <c r="U71" i="3" s="1"/>
  <c r="V69" i="3"/>
  <c r="V70" i="3" s="1"/>
  <c r="W69" i="3"/>
  <c r="W70" i="3" s="1"/>
  <c r="U72" i="3" l="1"/>
  <c r="V71" i="3"/>
  <c r="W71" i="3"/>
  <c r="U73" i="3" l="1"/>
  <c r="V72" i="3"/>
  <c r="W72" i="3"/>
  <c r="U74" i="3" l="1"/>
  <c r="V73" i="3"/>
  <c r="W73" i="3"/>
  <c r="U75" i="3" l="1"/>
  <c r="W74" i="3"/>
  <c r="V74" i="3"/>
  <c r="U76" i="3" l="1"/>
  <c r="U77" i="3" s="1"/>
  <c r="V75" i="3"/>
  <c r="V76" i="3" s="1"/>
  <c r="W75" i="3"/>
  <c r="W76" i="3" s="1"/>
  <c r="U78" i="3" l="1"/>
  <c r="U79" i="3" s="1"/>
  <c r="W77" i="3"/>
  <c r="W78" i="3" s="1"/>
  <c r="V77" i="3"/>
  <c r="V78" i="3" s="1"/>
  <c r="U80" i="3" l="1"/>
  <c r="W79" i="3"/>
  <c r="W80" i="3" s="1"/>
  <c r="V79" i="3"/>
  <c r="U81" i="3" l="1"/>
  <c r="V80" i="3"/>
  <c r="U82" i="3" l="1"/>
  <c r="W81" i="3"/>
  <c r="V81" i="3"/>
  <c r="U83" i="3" l="1"/>
  <c r="W82" i="3"/>
  <c r="V82" i="3"/>
  <c r="U84" i="3" l="1"/>
  <c r="U85" i="3" s="1"/>
  <c r="V83" i="3"/>
  <c r="W83" i="3"/>
  <c r="U86" i="3" l="1"/>
  <c r="U87" i="3" s="1"/>
  <c r="V85" i="3"/>
  <c r="V86" i="3" s="1"/>
  <c r="W85" i="3"/>
  <c r="W86" i="3" s="1"/>
  <c r="W84" i="3"/>
  <c r="V84" i="3"/>
  <c r="U88" i="3" l="1"/>
  <c r="V87" i="3"/>
  <c r="W87" i="3"/>
  <c r="U89" i="3" l="1"/>
  <c r="W88" i="3"/>
  <c r="V88" i="3"/>
  <c r="U90" i="3" l="1"/>
  <c r="V89" i="3"/>
  <c r="W89" i="3"/>
  <c r="U91" i="3" l="1"/>
  <c r="V90" i="3"/>
  <c r="W90" i="3"/>
  <c r="U92" i="3" l="1"/>
  <c r="W91" i="3"/>
  <c r="V91" i="3"/>
  <c r="V92" i="3" s="1"/>
  <c r="U93" i="3" l="1"/>
  <c r="W92" i="3"/>
  <c r="U94" i="3" l="1"/>
  <c r="U95" i="3" s="1"/>
  <c r="W93" i="3"/>
  <c r="W94" i="3" s="1"/>
  <c r="V93" i="3"/>
  <c r="V94" i="3" s="1"/>
  <c r="U96" i="3" l="1"/>
  <c r="W95" i="3"/>
  <c r="V95" i="3"/>
  <c r="U97" i="3" l="1"/>
  <c r="V96" i="3"/>
  <c r="W96" i="3"/>
  <c r="U98" i="3" l="1"/>
  <c r="U99" i="3" s="1"/>
  <c r="W97" i="3"/>
  <c r="V97" i="3"/>
  <c r="V98" i="3" s="1"/>
  <c r="U100" i="3" l="1"/>
  <c r="W99" i="3"/>
  <c r="V99" i="3"/>
  <c r="V100" i="3" s="1"/>
  <c r="W98" i="3"/>
  <c r="U101" i="3" l="1"/>
  <c r="W100" i="3"/>
  <c r="U102" i="3" l="1"/>
  <c r="U103" i="3" s="1"/>
  <c r="V101" i="3"/>
  <c r="V102" i="3" s="1"/>
  <c r="W101" i="3"/>
  <c r="W102" i="3" s="1"/>
  <c r="U104" i="3" l="1"/>
  <c r="V103" i="3"/>
  <c r="W103" i="3"/>
  <c r="W104" i="3" s="1"/>
  <c r="U105" i="3" l="1"/>
  <c r="V104" i="3"/>
  <c r="U106" i="3" l="1"/>
  <c r="V105" i="3"/>
  <c r="W105" i="3"/>
  <c r="U107" i="3" l="1"/>
  <c r="V106" i="3"/>
  <c r="W106" i="3"/>
  <c r="U108" i="3" l="1"/>
  <c r="V107" i="3"/>
  <c r="W107" i="3"/>
  <c r="U109" i="3" l="1"/>
  <c r="W108" i="3"/>
  <c r="V108" i="3"/>
  <c r="U110" i="3" l="1"/>
  <c r="U111" i="3" s="1"/>
  <c r="V109" i="3"/>
  <c r="W109" i="3"/>
  <c r="W110" i="3" s="1"/>
  <c r="U112" i="3" l="1"/>
  <c r="V111" i="3"/>
  <c r="W111" i="3"/>
  <c r="W112" i="3" s="1"/>
  <c r="V110" i="3"/>
  <c r="U113" i="3" l="1"/>
  <c r="V112" i="3"/>
  <c r="U114" i="3" l="1"/>
  <c r="W113" i="3"/>
  <c r="W114" i="3" s="1"/>
  <c r="V113" i="3"/>
  <c r="U115" i="3" l="1"/>
  <c r="V114" i="3"/>
  <c r="U116" i="3" l="1"/>
  <c r="U117" i="3" s="1"/>
  <c r="W115" i="3"/>
  <c r="W116" i="3" s="1"/>
  <c r="V115" i="3"/>
  <c r="V116" i="3" s="1"/>
  <c r="U118" i="3" l="1"/>
  <c r="U119" i="3" s="1"/>
  <c r="W117" i="3"/>
  <c r="W118" i="3" s="1"/>
  <c r="V117" i="3"/>
  <c r="V118" i="3" s="1"/>
  <c r="U120" i="3" l="1"/>
  <c r="V119" i="3"/>
  <c r="V120" i="3" s="1"/>
  <c r="W119" i="3"/>
  <c r="U121" i="3" l="1"/>
  <c r="W120" i="3"/>
  <c r="U122" i="3" l="1"/>
  <c r="V121" i="3"/>
  <c r="W121" i="3"/>
  <c r="W122" i="3" s="1"/>
  <c r="U123" i="3" l="1"/>
  <c r="V122" i="3"/>
  <c r="U124" i="3" l="1"/>
  <c r="V123" i="3"/>
  <c r="V124" i="3" s="1"/>
  <c r="W123" i="3"/>
  <c r="U125" i="3" l="1"/>
  <c r="W124" i="3"/>
  <c r="U126" i="3" l="1"/>
  <c r="U127" i="3" s="1"/>
  <c r="V125" i="3"/>
  <c r="V126" i="3" s="1"/>
  <c r="W125" i="3"/>
  <c r="W126" i="3" s="1"/>
  <c r="U128" i="3" l="1"/>
  <c r="W127" i="3"/>
  <c r="V127" i="3"/>
  <c r="U129" i="3" l="1"/>
  <c r="V128" i="3"/>
  <c r="W128" i="3"/>
  <c r="U130" i="3" l="1"/>
  <c r="U131" i="3" s="1"/>
  <c r="W129" i="3"/>
  <c r="W130" i="3" s="1"/>
  <c r="V129" i="3"/>
  <c r="V130" i="3" s="1"/>
  <c r="U132" i="3" l="1"/>
  <c r="U133" i="3" s="1"/>
  <c r="W131" i="3"/>
  <c r="W132" i="3" s="1"/>
  <c r="V131" i="3"/>
  <c r="V132" i="3" s="1"/>
  <c r="U134" i="3" l="1"/>
  <c r="U135" i="3" s="1"/>
  <c r="W133" i="3"/>
  <c r="W134" i="3" s="1"/>
  <c r="V133" i="3"/>
  <c r="V134" i="3" s="1"/>
  <c r="U136" i="3" l="1"/>
  <c r="W135" i="3"/>
  <c r="V135" i="3"/>
  <c r="U137" i="3" l="1"/>
  <c r="W136" i="3"/>
  <c r="V136" i="3"/>
  <c r="U138" i="3" l="1"/>
  <c r="V137" i="3"/>
  <c r="W137" i="3"/>
  <c r="U139" i="3" l="1"/>
  <c r="V138" i="3"/>
  <c r="W138" i="3"/>
  <c r="U140" i="3" l="1"/>
  <c r="U141" i="3" s="1"/>
  <c r="V139" i="3"/>
  <c r="V140" i="3" s="1"/>
  <c r="W139" i="3"/>
  <c r="W140" i="3" s="1"/>
  <c r="U142" i="3" l="1"/>
  <c r="U143" i="3" s="1"/>
  <c r="V141" i="3"/>
  <c r="V142" i="3" s="1"/>
  <c r="W141" i="3"/>
  <c r="W142" i="3" s="1"/>
  <c r="U144" i="3" l="1"/>
  <c r="V143" i="3"/>
  <c r="W143" i="3"/>
  <c r="W144" i="3" s="1"/>
  <c r="U145" i="3" l="1"/>
  <c r="V144" i="3"/>
  <c r="U146" i="3" l="1"/>
  <c r="W145" i="3"/>
  <c r="V145" i="3"/>
  <c r="U147" i="3" l="1"/>
  <c r="V146" i="3"/>
  <c r="W146" i="3"/>
  <c r="U148" i="3" l="1"/>
  <c r="U149" i="3" s="1"/>
  <c r="V147" i="3"/>
  <c r="V148" i="3" s="1"/>
  <c r="W147" i="3"/>
  <c r="W148" i="3" s="1"/>
  <c r="U150" i="3" l="1"/>
  <c r="U151" i="3" s="1"/>
  <c r="W149" i="3"/>
  <c r="W150" i="3" s="1"/>
  <c r="V149" i="3"/>
  <c r="V150" i="3" s="1"/>
  <c r="U152" i="3" l="1"/>
  <c r="W151" i="3"/>
  <c r="V151" i="3"/>
  <c r="V152" i="3" s="1"/>
  <c r="U153" i="3" l="1"/>
  <c r="W152" i="3"/>
  <c r="U154" i="3" l="1"/>
  <c r="W153" i="3"/>
  <c r="V153" i="3"/>
  <c r="U155" i="3" l="1"/>
  <c r="V154" i="3"/>
  <c r="W154" i="3"/>
  <c r="U156" i="3" l="1"/>
  <c r="V155" i="3"/>
  <c r="V156" i="3" s="1"/>
  <c r="W155" i="3"/>
  <c r="U157" i="3" l="1"/>
  <c r="W156" i="3"/>
  <c r="U158" i="3" l="1"/>
  <c r="U159" i="3" s="1"/>
  <c r="V157" i="3"/>
  <c r="V158" i="3" s="1"/>
  <c r="W157" i="3"/>
  <c r="W158" i="3" s="1"/>
  <c r="U160" i="3" l="1"/>
  <c r="V159" i="3"/>
  <c r="W159" i="3"/>
  <c r="W160" i="3" s="1"/>
  <c r="U161" i="3" l="1"/>
  <c r="V160" i="3"/>
  <c r="U162" i="3" l="1"/>
  <c r="U163" i="3" s="1"/>
  <c r="V161" i="3"/>
  <c r="V162" i="3" s="1"/>
  <c r="W161" i="3"/>
  <c r="W162" i="3" s="1"/>
  <c r="U164" i="3" l="1"/>
  <c r="V163" i="3"/>
  <c r="V164" i="3" s="1"/>
  <c r="W163" i="3"/>
  <c r="U165" i="3" l="1"/>
  <c r="W164" i="3"/>
  <c r="U166" i="3" l="1"/>
  <c r="U167" i="3" s="1"/>
  <c r="W165" i="3"/>
  <c r="W166" i="3" s="1"/>
  <c r="V165" i="3"/>
  <c r="V166" i="3" s="1"/>
  <c r="U168" i="3" l="1"/>
  <c r="W167" i="3"/>
  <c r="W168" i="3" s="1"/>
  <c r="V167" i="3"/>
  <c r="U169" i="3" l="1"/>
  <c r="V168" i="3"/>
  <c r="U170" i="3" l="1"/>
  <c r="W169" i="3"/>
  <c r="V169" i="3"/>
  <c r="U171" i="3" l="1"/>
  <c r="V170" i="3"/>
  <c r="W170" i="3"/>
  <c r="U172" i="3" l="1"/>
  <c r="V171" i="3"/>
  <c r="V172" i="3" s="1"/>
  <c r="W171" i="3"/>
  <c r="U173" i="3" l="1"/>
  <c r="W172" i="3"/>
  <c r="U174" i="3" l="1"/>
  <c r="U175" i="3" s="1"/>
  <c r="V173" i="3"/>
  <c r="V174" i="3" s="1"/>
  <c r="W173" i="3"/>
  <c r="W174" i="3" s="1"/>
  <c r="U176" i="3" l="1"/>
  <c r="V175" i="3"/>
  <c r="W175" i="3"/>
  <c r="U177" i="3" l="1"/>
  <c r="V176" i="3"/>
  <c r="W176" i="3"/>
  <c r="U178" i="3" l="1"/>
  <c r="V177" i="3"/>
  <c r="W177" i="3"/>
  <c r="W178" i="3" s="1"/>
  <c r="U179" i="3" l="1"/>
  <c r="V178" i="3"/>
  <c r="U180" i="3" l="1"/>
  <c r="U181" i="3" s="1"/>
  <c r="V179" i="3"/>
  <c r="V180" i="3" s="1"/>
  <c r="W179" i="3"/>
  <c r="W180" i="3" s="1"/>
  <c r="U182" i="3" l="1"/>
  <c r="U183" i="3" s="1"/>
  <c r="V181" i="3"/>
  <c r="V182" i="3" s="1"/>
  <c r="W181" i="3"/>
  <c r="W182" i="3" s="1"/>
  <c r="U184" i="3" l="1"/>
  <c r="W183" i="3"/>
  <c r="V183" i="3"/>
  <c r="V184" i="3" s="1"/>
  <c r="U185" i="3" l="1"/>
  <c r="W184" i="3"/>
  <c r="U186" i="3" l="1"/>
  <c r="V185" i="3"/>
  <c r="W185" i="3"/>
  <c r="W186" i="3" s="1"/>
  <c r="U187" i="3" l="1"/>
  <c r="V186" i="3"/>
  <c r="U188" i="3" l="1"/>
  <c r="W187" i="3"/>
  <c r="V187" i="3"/>
  <c r="V188" i="3" s="1"/>
  <c r="U189" i="3" l="1"/>
  <c r="W188" i="3"/>
  <c r="U190" i="3" l="1"/>
  <c r="U191" i="3" s="1"/>
  <c r="V189" i="3"/>
  <c r="V190" i="3" s="1"/>
  <c r="W189" i="3"/>
  <c r="W190" i="3" s="1"/>
  <c r="U192" i="3" l="1"/>
  <c r="V191" i="3"/>
  <c r="W191" i="3"/>
  <c r="U193" i="3" l="1"/>
  <c r="V192" i="3"/>
  <c r="W192" i="3"/>
  <c r="U194" i="3" l="1"/>
  <c r="V193" i="3"/>
  <c r="V194" i="3" s="1"/>
  <c r="W193" i="3"/>
  <c r="U195" i="3" l="1"/>
  <c r="W194" i="3"/>
  <c r="U196" i="3" l="1"/>
  <c r="U197" i="3" s="1"/>
  <c r="V195" i="3"/>
  <c r="V196" i="3" s="1"/>
  <c r="W195" i="3"/>
  <c r="W196" i="3" s="1"/>
  <c r="U198" i="3" l="1"/>
  <c r="U199" i="3" s="1"/>
  <c r="V197" i="3"/>
  <c r="V198" i="3" s="1"/>
  <c r="W197" i="3"/>
  <c r="W198" i="3" s="1"/>
  <c r="U200" i="3" l="1"/>
  <c r="W199" i="3"/>
  <c r="V199" i="3"/>
  <c r="U201" i="3" l="1"/>
  <c r="W200" i="3"/>
  <c r="V200" i="3"/>
  <c r="U202" i="3" l="1"/>
  <c r="W201" i="3"/>
  <c r="V201" i="3"/>
  <c r="U203" i="3" l="1"/>
  <c r="W202" i="3"/>
  <c r="V202" i="3"/>
  <c r="U204" i="3" l="1"/>
  <c r="U205" i="3" s="1"/>
  <c r="W203" i="3"/>
  <c r="W204" i="3" s="1"/>
  <c r="V203" i="3"/>
  <c r="V204" i="3" s="1"/>
  <c r="U206" i="3" l="1"/>
  <c r="U207" i="3" s="1"/>
  <c r="W205" i="3"/>
  <c r="W206" i="3" s="1"/>
  <c r="V205" i="3"/>
  <c r="V206" i="3" s="1"/>
  <c r="U208" i="3" l="1"/>
  <c r="V207" i="3"/>
  <c r="W207" i="3"/>
  <c r="W208" i="3" s="1"/>
  <c r="U209" i="3" l="1"/>
  <c r="V208" i="3"/>
  <c r="U210" i="3" l="1"/>
  <c r="V209" i="3"/>
  <c r="W209" i="3"/>
  <c r="W210" i="3" s="1"/>
  <c r="U211" i="3" l="1"/>
  <c r="V210" i="3"/>
  <c r="U212" i="3" l="1"/>
  <c r="V211" i="3"/>
  <c r="W211" i="3"/>
  <c r="W212" i="3" l="1"/>
  <c r="V212" i="3"/>
</calcChain>
</file>

<file path=xl/connections.xml><?xml version="1.0" encoding="utf-8"?>
<connections xmlns="http://schemas.openxmlformats.org/spreadsheetml/2006/main">
  <connection id="1" name="COAD_CONTACT_COR1" type="6" refreshedVersion="5" background="1" saveData="1">
    <textPr codePage="437" sourceFile="C:\Hong\TCGA\COAD\COAD_CONTACT_COR.txt" comma="1">
      <textFields count="3">
        <textField/>
        <textField/>
        <textField/>
      </textFields>
    </textPr>
  </connection>
  <connection id="2" name="COAD_DEALTH_COR" type="6" refreshedVersion="5" background="1" saveData="1">
    <textPr codePage="437" sourceFile="C:\Hong\TCGA\COAD\COAD_DEALTH_COR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<sst xmlns="http://schemas.openxmlformats.org/spreadsheetml/2006/main" count="790" uniqueCount="377">
  <si>
    <t>TCGA-5M-AAT4</t>
  </si>
  <si>
    <t>TCGA-5M-AAT6</t>
  </si>
  <si>
    <t>TCGA-A6-2682</t>
  </si>
  <si>
    <t>TCGA-A6-4105</t>
  </si>
  <si>
    <t>TCGA-A6-A565</t>
  </si>
  <si>
    <t>TCGA-A6-A566</t>
  </si>
  <si>
    <t>TCGA-A6-A567</t>
  </si>
  <si>
    <t>TCGA-AA-3488</t>
  </si>
  <si>
    <t>TCGA-AA-3666</t>
  </si>
  <si>
    <t>TCGA-AA-3818</t>
  </si>
  <si>
    <t>TCGA-AA-3952</t>
  </si>
  <si>
    <t>TCGA-AA-A00N</t>
  </si>
  <si>
    <t>TCGA-AA-A02E</t>
  </si>
  <si>
    <t>TCGA-AA-A02H</t>
  </si>
  <si>
    <t>TCGA-AA-A02J</t>
  </si>
  <si>
    <t>TCGA-AA-A02R</t>
  </si>
  <si>
    <t>TCGA-AY-4070</t>
  </si>
  <si>
    <t>TCGA-AY-4071</t>
  </si>
  <si>
    <t>TCGA-AZ-4323</t>
  </si>
  <si>
    <t>TCGA-AZ-4614</t>
  </si>
  <si>
    <t>TCGA-AZ-4616</t>
  </si>
  <si>
    <t>TCGA-AZ-4682</t>
  </si>
  <si>
    <t>TCGA-AZ-5403</t>
  </si>
  <si>
    <t>TCGA-AZ-6598</t>
  </si>
  <si>
    <t>TCGA-AZ-6599</t>
  </si>
  <si>
    <t>TCGA-AZ-6600</t>
  </si>
  <si>
    <t>TCGA-AZ-6601</t>
  </si>
  <si>
    <t>TCGA-AZ-6603</t>
  </si>
  <si>
    <t>TCGA-AZ-6605</t>
  </si>
  <si>
    <t>TCGA-AZ-6606</t>
  </si>
  <si>
    <t>TCGA-AZ-6607</t>
  </si>
  <si>
    <t>TCGA-AZ-6608</t>
  </si>
  <si>
    <t>TCGA-CK-5916</t>
  </si>
  <si>
    <t>TCGA-CM-5862</t>
  </si>
  <si>
    <t>TCGA-DM-A0XD</t>
  </si>
  <si>
    <t>TCGA-DM-A0XF</t>
  </si>
  <si>
    <t>TCGA-DM-A1D4</t>
  </si>
  <si>
    <t>TCGA-DM-A1D6</t>
  </si>
  <si>
    <t>TCGA-DM-A1D8</t>
  </si>
  <si>
    <t>TCGA-DM-A1DA</t>
  </si>
  <si>
    <t>TCGA-DM-A1DB</t>
  </si>
  <si>
    <t>TCGA-DM-A280</t>
  </si>
  <si>
    <t>TCGA-DM-A285</t>
  </si>
  <si>
    <t>TCGA-DM-A288</t>
  </si>
  <si>
    <t>TCGA-DM-A28A</t>
  </si>
  <si>
    <t>TCGA-DM-A28C</t>
  </si>
  <si>
    <t>TCGA-DM-A28F</t>
  </si>
  <si>
    <t>TCGA-DM-A28G</t>
  </si>
  <si>
    <t>TCGA-G4-6294</t>
  </si>
  <si>
    <t>TCGA-G4-6298</t>
  </si>
  <si>
    <t>TCGA-G4-6626</t>
  </si>
  <si>
    <t>TCGA-NH-A50U</t>
  </si>
  <si>
    <t>TCGA-3L-AA1B</t>
  </si>
  <si>
    <t>TCGA-4N-A93T</t>
  </si>
  <si>
    <t>TCGA-4T-AA8H</t>
  </si>
  <si>
    <t>TCGA-5M-AATE</t>
  </si>
  <si>
    <t>TCGA-A6-2670</t>
  </si>
  <si>
    <t>TCGA-A6-2671</t>
  </si>
  <si>
    <t>TCGA-A6-2672</t>
  </si>
  <si>
    <t>TCGA-A6-2674</t>
  </si>
  <si>
    <t>TCGA-A6-2675</t>
  </si>
  <si>
    <t>TCGA-A6-2676</t>
  </si>
  <si>
    <t>TCGA-A6-2677</t>
  </si>
  <si>
    <t>TCGA-A6-2678</t>
  </si>
  <si>
    <t>TCGA-A6-2679</t>
  </si>
  <si>
    <t>TCGA-A6-2680</t>
  </si>
  <si>
    <t>TCGA-A6-2681</t>
  </si>
  <si>
    <t>TCGA-A6-2683</t>
  </si>
  <si>
    <t>TCGA-A6-2684</t>
  </si>
  <si>
    <t>TCGA-A6-2685</t>
  </si>
  <si>
    <t>TCGA-A6-2686</t>
  </si>
  <si>
    <t>TCGA-A6-3807</t>
  </si>
  <si>
    <t>TCGA-A6-3808</t>
  </si>
  <si>
    <t>TCGA-A6-3809</t>
  </si>
  <si>
    <t>TCGA-A6-3810</t>
  </si>
  <si>
    <t>TCGA-A6-4107</t>
  </si>
  <si>
    <t>TCGA-A6-5656</t>
  </si>
  <si>
    <t>TCGA-A6-5657</t>
  </si>
  <si>
    <t>TCGA-A6-5659</t>
  </si>
  <si>
    <t>TCGA-A6-5660</t>
  </si>
  <si>
    <t>TCGA-A6-5661</t>
  </si>
  <si>
    <t>TCGA-A6-5662</t>
  </si>
  <si>
    <t>TCGA-A6-5664</t>
  </si>
  <si>
    <t>TCGA-A6-5665</t>
  </si>
  <si>
    <t>TCGA-A6-5666</t>
  </si>
  <si>
    <t>TCGA-A6-5667</t>
  </si>
  <si>
    <t>TCGA-A6-6137</t>
  </si>
  <si>
    <t>TCGA-A6-6138</t>
  </si>
  <si>
    <t>TCGA-A6-6140</t>
  </si>
  <si>
    <t>TCGA-A6-6141</t>
  </si>
  <si>
    <t>TCGA-A6-6142</t>
  </si>
  <si>
    <t>TCGA-A6-6648</t>
  </si>
  <si>
    <t>TCGA-A6-6649</t>
  </si>
  <si>
    <t>TCGA-A6-6650</t>
  </si>
  <si>
    <t>TCGA-A6-6651</t>
  </si>
  <si>
    <t>TCGA-A6-6652</t>
  </si>
  <si>
    <t>TCGA-A6-6653</t>
  </si>
  <si>
    <t>TCGA-A6-6654</t>
  </si>
  <si>
    <t>TCGA-A6-6780</t>
  </si>
  <si>
    <t>TCGA-A6-6781</t>
  </si>
  <si>
    <t>TCGA-A6-6782</t>
  </si>
  <si>
    <t>TCGA-A6-A56B</t>
  </si>
  <si>
    <t>TCGA-A6-A5ZU</t>
  </si>
  <si>
    <t>TCGA-AA-3489</t>
  </si>
  <si>
    <t>TCGA-AA-3494</t>
  </si>
  <si>
    <t>TCGA-AA-3495</t>
  </si>
  <si>
    <t>TCGA-AA-3496</t>
  </si>
  <si>
    <t>TCGA-AA-3502</t>
  </si>
  <si>
    <t>TCGA-AA-3510</t>
  </si>
  <si>
    <t>TCGA-AA-3518</t>
  </si>
  <si>
    <t>TCGA-AA-3526</t>
  </si>
  <si>
    <t>TCGA-AA-3555</t>
  </si>
  <si>
    <t>TCGA-AA-3562</t>
  </si>
  <si>
    <t>TCGA-AA-3660</t>
  </si>
  <si>
    <t>TCGA-AA-3663</t>
  </si>
  <si>
    <t>TCGA-AA-3675</t>
  </si>
  <si>
    <t>TCGA-AA-3679</t>
  </si>
  <si>
    <t>TCGA-AA-3685</t>
  </si>
  <si>
    <t>TCGA-AA-3697</t>
  </si>
  <si>
    <t>TCGA-AA-3710</t>
  </si>
  <si>
    <t>TCGA-AA-3713</t>
  </si>
  <si>
    <t>TCGA-AA-3715</t>
  </si>
  <si>
    <t>TCGA-AA-3811</t>
  </si>
  <si>
    <t>TCGA-AA-3837</t>
  </si>
  <si>
    <t>TCGA-AA-3842</t>
  </si>
  <si>
    <t>TCGA-AA-3844</t>
  </si>
  <si>
    <t>TCGA-AA-3846</t>
  </si>
  <si>
    <t>TCGA-AA-3848</t>
  </si>
  <si>
    <t>TCGA-AA-3854</t>
  </si>
  <si>
    <t>TCGA-AA-3856</t>
  </si>
  <si>
    <t>TCGA-AA-3862</t>
  </si>
  <si>
    <t>TCGA-AA-3877</t>
  </si>
  <si>
    <t>TCGA-AA-3939</t>
  </si>
  <si>
    <t>TCGA-AA-3941</t>
  </si>
  <si>
    <t>TCGA-AA-3947</t>
  </si>
  <si>
    <t>TCGA-AA-3949</t>
  </si>
  <si>
    <t>TCGA-AA-3950</t>
  </si>
  <si>
    <t>TCGA-AA-3966</t>
  </si>
  <si>
    <t>TCGA-AA-3975</t>
  </si>
  <si>
    <t>TCGA-AA-3977</t>
  </si>
  <si>
    <t>TCGA-AA-3986</t>
  </si>
  <si>
    <t>TCGA-AA-A004</t>
  </si>
  <si>
    <t>TCGA-AA-A00D</t>
  </si>
  <si>
    <t>TCGA-AA-A00K</t>
  </si>
  <si>
    <t>TCGA-AA-A00L</t>
  </si>
  <si>
    <t>TCGA-AA-A00R</t>
  </si>
  <si>
    <t>TCGA-AA-A00U</t>
  </si>
  <si>
    <t>TCGA-AA-A00W</t>
  </si>
  <si>
    <t>TCGA-AA-A00Z</t>
  </si>
  <si>
    <t>TCGA-AA-A017</t>
  </si>
  <si>
    <t>TCGA-AA-A01C</t>
  </si>
  <si>
    <t>TCGA-AA-A01D</t>
  </si>
  <si>
    <t>TCGA-AA-A01F</t>
  </si>
  <si>
    <t>TCGA-AA-A01G</t>
  </si>
  <si>
    <t>TCGA-AA-A01I</t>
  </si>
  <si>
    <t>TCGA-AA-A01K</t>
  </si>
  <si>
    <t>TCGA-AA-A01Q</t>
  </si>
  <si>
    <t>TCGA-AA-A01R</t>
  </si>
  <si>
    <t>TCGA-AA-A01S</t>
  </si>
  <si>
    <t>TCGA-AA-A01T</t>
  </si>
  <si>
    <t>TCGA-AA-A01V</t>
  </si>
  <si>
    <t>TCGA-AA-A01X</t>
  </si>
  <si>
    <t>TCGA-AA-A024</t>
  </si>
  <si>
    <t>TCGA-AA-A029</t>
  </si>
  <si>
    <t>TCGA-AA-A02F</t>
  </si>
  <si>
    <t>TCGA-AA-A02O</t>
  </si>
  <si>
    <t>TCGA-AA-A02W</t>
  </si>
  <si>
    <t>TCGA-AA-A02Y</t>
  </si>
  <si>
    <t>TCGA-AD-5900</t>
  </si>
  <si>
    <t>TCGA-AD-6548</t>
  </si>
  <si>
    <t>TCGA-AD-6888</t>
  </si>
  <si>
    <t>TCGA-AD-6889</t>
  </si>
  <si>
    <t>TCGA-AD-6890</t>
  </si>
  <si>
    <t>TCGA-AD-6895</t>
  </si>
  <si>
    <t>TCGA-AD-6899</t>
  </si>
  <si>
    <t>TCGA-AD-6901</t>
  </si>
  <si>
    <t>TCGA-AD-6963</t>
  </si>
  <si>
    <t>TCGA-AD-6964</t>
  </si>
  <si>
    <t>TCGA-AD-6965</t>
  </si>
  <si>
    <t>TCGA-AD-A5EK</t>
  </si>
  <si>
    <t>TCGA-AM-5820</t>
  </si>
  <si>
    <t>TCGA-AM-5821</t>
  </si>
  <si>
    <t>TCGA-AU-3779</t>
  </si>
  <si>
    <t>TCGA-AU-6004</t>
  </si>
  <si>
    <t>TCGA-AY-5543</t>
  </si>
  <si>
    <t>TCGA-AY-6196</t>
  </si>
  <si>
    <t>TCGA-AY-6197</t>
  </si>
  <si>
    <t>TCGA-AY-6386</t>
  </si>
  <si>
    <t>TCGA-AY-A54L</t>
  </si>
  <si>
    <t>TCGA-AY-A69D</t>
  </si>
  <si>
    <t>TCGA-AY-A71X</t>
  </si>
  <si>
    <t>TCGA-AY-A8YK</t>
  </si>
  <si>
    <t>TCGA-AZ-4308</t>
  </si>
  <si>
    <t>TCGA-AZ-4313</t>
  </si>
  <si>
    <t>TCGA-AZ-4315</t>
  </si>
  <si>
    <t>TCGA-AZ-4615</t>
  </si>
  <si>
    <t>TCGA-AZ-4681</t>
  </si>
  <si>
    <t>TCGA-AZ-4684</t>
  </si>
  <si>
    <t>TCGA-AZ-5407</t>
  </si>
  <si>
    <t>TCGA-CA-5254</t>
  </si>
  <si>
    <t>TCGA-CA-5255</t>
  </si>
  <si>
    <t>TCGA-CA-5796</t>
  </si>
  <si>
    <t>TCGA-CA-5797</t>
  </si>
  <si>
    <t>TCGA-CA-6715</t>
  </si>
  <si>
    <t>TCGA-CA-6716</t>
  </si>
  <si>
    <t>TCGA-CA-6717</t>
  </si>
  <si>
    <t>TCGA-CA-6718</t>
  </si>
  <si>
    <t>TCGA-CA-6719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</si>
  <si>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</si>
  <si>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</si>
  <si>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</si>
  <si>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</si>
  <si>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</si>
  <si>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</si>
  <si>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</si>
  <si>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</si>
  <si>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</si>
  <si>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</si>
  <si>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</si>
  <si>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</si>
  <si>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</si>
  <si>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</si>
  <si>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</si>
  <si>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</si>
  <si>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</si>
  <si>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</si>
  <si>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</si>
  <si>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</si>
  <si>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</si>
  <si>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</si>
  <si>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</si>
  <si>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</si>
  <si>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TCGA-CM-5861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</si>
  <si>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</si>
  <si>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</si>
  <si>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</si>
  <si>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</si>
  <si>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</si>
  <si>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</si>
  <si>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</si>
  <si>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</si>
  <si>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</si>
  <si>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TCGA-CM-6167</t>
  </si>
  <si>
    <t>TCGA-CM-6168</t>
  </si>
  <si>
    <t>TCGA-CM-6169</t>
  </si>
  <si>
    <t>TCGA-CM-6170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</si>
  <si>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</si>
  <si>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</si>
  <si>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</si>
  <si>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</si>
  <si>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</si>
  <si>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</si>
  <si>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</si>
  <si>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</si>
  <si>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</si>
  <si>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TCGA-D5-5537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</si>
  <si>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</si>
  <si>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</si>
  <si>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</si>
  <si>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</si>
  <si>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</si>
  <si>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</si>
  <si>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</si>
  <si>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</si>
  <si>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TCGA-D5-6533</t>
  </si>
  <si>
    <t>TCGA-D5-6534</t>
  </si>
  <si>
    <t>TCGA-D5-6535</t>
  </si>
  <si>
    <t>TCGA-D5-6536</t>
  </si>
  <si>
    <t>TCGA-D5-6537</t>
  </si>
  <si>
    <t>TCGA-D5-6538</t>
  </si>
  <si>
    <t>TCGA-D5-6539</t>
  </si>
  <si>
    <t>TCGA-D5-6540</t>
  </si>
  <si>
    <t>TCGA-D5-6541</t>
  </si>
  <si>
    <t>TCGA-D5-6898</t>
  </si>
  <si>
    <t>TCGA-D5-6920</t>
  </si>
  <si>
    <t>TCGA-D5-6922</t>
  </si>
  <si>
    <t>TCGA-D5-6923</t>
  </si>
  <si>
    <t>TCGA-D5-6924</t>
  </si>
  <si>
    <t>TCGA-D5-6926</t>
  </si>
  <si>
    <t>TCGA-D5-6927</t>
  </si>
  <si>
    <t>TCGA-D5-6928</t>
  </si>
  <si>
    <t>TCGA-D5-6929</t>
  </si>
  <si>
    <t>TCGA-D5-6930</t>
  </si>
  <si>
    <t>TCGA-D5-6931</t>
  </si>
  <si>
    <t>TCGA-D5-6932</t>
  </si>
  <si>
    <t>TCGA-D5-7000</t>
  </si>
  <si>
    <t>TCGA-DM-A0X9</t>
  </si>
  <si>
    <t>TCGA-DM-A1D0</t>
  </si>
  <si>
    <t>TCGA-DM-A1D9</t>
  </si>
  <si>
    <t>TCGA-DM-A1HA</t>
  </si>
  <si>
    <t>TCGA-DM-A1HB</t>
  </si>
  <si>
    <t>TCGA-DM-A282</t>
  </si>
  <si>
    <t>TCGA-DM-A28E</t>
  </si>
  <si>
    <t>TCGA-DM-A28H</t>
  </si>
  <si>
    <t>TCGA-DM-A28K</t>
  </si>
  <si>
    <t>TCGA-DM-A28M</t>
  </si>
  <si>
    <t>TCGA-F4-6459</t>
  </si>
  <si>
    <t>TCGA-F4-6460</t>
  </si>
  <si>
    <t>TCGA-F4-6461</t>
  </si>
  <si>
    <t>TCGA-F4-6463</t>
  </si>
  <si>
    <t>TCGA-F4-6569</t>
  </si>
  <si>
    <t>TCGA-F4-6570</t>
  </si>
  <si>
    <t>TCGA-F4-6703</t>
  </si>
  <si>
    <t>TCGA-F4-6704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</si>
  <si>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</si>
  <si>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</si>
  <si>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</si>
  <si>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</si>
  <si>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</si>
  <si>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</si>
  <si>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</si>
  <si>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</si>
  <si>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TCGA-G4-6293</t>
  </si>
  <si>
    <t>TCGA-G4-6295</t>
  </si>
  <si>
    <t>TCGA-G4-6297</t>
  </si>
  <si>
    <t>TCGA-G4-6299</t>
  </si>
  <si>
    <t>TCGA-G4-6302</t>
  </si>
  <si>
    <t>TCGA-G4-6303</t>
  </si>
  <si>
    <t>TCGA-G4-6304</t>
  </si>
  <si>
    <t>TCGA-G4-6306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</si>
  <si>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</si>
  <si>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</si>
  <si>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</si>
  <si>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</si>
  <si>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</si>
  <si>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</si>
  <si>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</si>
  <si>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</si>
  <si>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</si>
  <si>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</si>
  <si>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</si>
  <si>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</si>
  <si>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</si>
  <si>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TCGA-G4-6625</t>
  </si>
  <si>
    <t>TCGA-G4-6627</t>
  </si>
  <si>
    <t>TCGA-G4-6628</t>
  </si>
  <si>
    <t>TCGA-NH-A50T</t>
  </si>
  <si>
    <t>TCGA-NH-A50V</t>
  </si>
  <si>
    <t>TCGA-NH-A5IV</t>
  </si>
  <si>
    <t>TCGA-NH-A6GA</t>
  </si>
  <si>
    <t>TCGA-NH-A6GB</t>
  </si>
  <si>
    <t>TCGA-NH-A6GC</t>
  </si>
  <si>
    <t>TCGA-NH-A8F7</t>
  </si>
  <si>
    <t>TCGA-NH-A8F8</t>
  </si>
  <si>
    <t>TCGA-QG-A5YV</t>
  </si>
  <si>
    <t>TCGA-QG-A5YW</t>
  </si>
  <si>
    <t>TCGA-QG-A5YX</t>
  </si>
  <si>
    <t>TCGA-QG-A5Z1</t>
  </si>
  <si>
    <t>TCGA-QG-A5Z2</t>
  </si>
  <si>
    <t>TCGA-QL-A97D</t>
  </si>
  <si>
    <t>TCGA-RU-A8FL</t>
  </si>
  <si>
    <t>TCGA-SS-A7HO</t>
  </si>
  <si>
    <t>TCGA-WS-AB45</t>
  </si>
  <si>
    <t>dead</t>
  </si>
  <si>
    <t>censored</t>
  </si>
  <si>
    <t>Sample code</t>
  </si>
  <si>
    <t>Gene expression</t>
  </si>
  <si>
    <t>Days</t>
  </si>
  <si>
    <t>Outcome</t>
  </si>
  <si>
    <t>Period</t>
  </si>
  <si>
    <t>Median</t>
  </si>
  <si>
    <t>Max</t>
  </si>
  <si>
    <t>period</t>
  </si>
  <si>
    <t>survived</t>
  </si>
  <si>
    <t>&lt; Median</t>
  </si>
  <si>
    <t>&gt; Median</t>
  </si>
  <si>
    <t>at risk</t>
  </si>
  <si>
    <t>Observed Death</t>
  </si>
  <si>
    <t>Expected Death</t>
  </si>
  <si>
    <t>risk-for-death</t>
  </si>
  <si>
    <t>&lt;M-expected-death</t>
  </si>
  <si>
    <t>&gt;M-expected-death</t>
  </si>
  <si>
    <t>P-value=</t>
  </si>
  <si>
    <t>IL11-Low</t>
  </si>
  <si>
    <t>IL11-High</t>
  </si>
  <si>
    <t>probability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</si>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</sst>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IL11</a:t>
            </a:r>
            <a:r>
              <a:rPr lang="en-US" baseline="0"/>
              <a:t> Gene Expression on COAD Survival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COAD!$V$8</c:f>
              <c:strCache>
                <c:ptCount val="1"/>
                <c:pt idx="0">
                  <c:v>IL11-Low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COAD!$U$9:$U$212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  <c:pt idx="200">
                  <c:v>100</c:v>
                </c:pt>
                <c:pt idx="201">
                  <c:v>101</c:v>
                </c:pt>
                <c:pt idx="202">
                  <c:v>101</c:v>
                </c:pt>
                <c:pt idx="203">
                  <c:v>102</c:v>
                </c:pt>
              </c:numCache>
            </c:numRef>
          </c:xVal>
          <c:yVal>
            <c:numRef>
              <c:f>COAD!$V$9:$V$212</c:f>
              <c:numCache>
                <c:formatCode>General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0.98550724637681164</c:v>
                </c:pt>
                <c:pt idx="5">
                  <c:v>0.98550724637681164</c:v>
                </c:pt>
                <c:pt idx="6">
                  <c:v>0.97798429029759926</c:v>
                </c:pt>
                <c:pt idx="7">
                  <c:v>0.97798429029759926</c:v>
                </c:pt>
                <c:pt idx="8">
                  <c:v>0.97798429029759926</c:v>
                </c:pt>
                <c:pt idx="9">
                  <c:v>0.97798429029759926</c:v>
                </c:pt>
                <c:pt idx="10">
                  <c:v>0.97798429029759926</c:v>
                </c:pt>
                <c:pt idx="11">
                  <c:v>0.97798429029759926</c:v>
                </c:pt>
                <c:pt idx="12">
                  <c:v>0.95030548962879935</c:v>
                </c:pt>
                <c:pt idx="13">
                  <c:v>0.95030548962879935</c:v>
                </c:pt>
                <c:pt idx="14">
                  <c:v>0.94070644427901351</c:v>
                </c:pt>
                <c:pt idx="15">
                  <c:v>0.94070644427901351</c:v>
                </c:pt>
                <c:pt idx="16">
                  <c:v>0.93059132122224997</c:v>
                </c:pt>
                <c:pt idx="17">
                  <c:v>0.93059132122224997</c:v>
                </c:pt>
                <c:pt idx="18">
                  <c:v>0.93059132122224997</c:v>
                </c:pt>
                <c:pt idx="19">
                  <c:v>0.93059132122224997</c:v>
                </c:pt>
                <c:pt idx="20">
                  <c:v>0.93059132122224997</c:v>
                </c:pt>
                <c:pt idx="21">
                  <c:v>0.93059132122224997</c:v>
                </c:pt>
                <c:pt idx="22">
                  <c:v>0.93059132122225008</c:v>
                </c:pt>
                <c:pt idx="23">
                  <c:v>0.93059132122225008</c:v>
                </c:pt>
                <c:pt idx="24">
                  <c:v>0.91801576282735486</c:v>
                </c:pt>
                <c:pt idx="25">
                  <c:v>0.91801576282735486</c:v>
                </c:pt>
                <c:pt idx="26">
                  <c:v>0.91801576282735498</c:v>
                </c:pt>
                <c:pt idx="27">
                  <c:v>0.91801576282735498</c:v>
                </c:pt>
                <c:pt idx="28">
                  <c:v>0.91801576282735498</c:v>
                </c:pt>
                <c:pt idx="29">
                  <c:v>0.91801576282735498</c:v>
                </c:pt>
                <c:pt idx="30">
                  <c:v>0.90431403502396168</c:v>
                </c:pt>
                <c:pt idx="31">
                  <c:v>0.90431403502396168</c:v>
                </c:pt>
                <c:pt idx="32">
                  <c:v>0.90431403502396168</c:v>
                </c:pt>
                <c:pt idx="33">
                  <c:v>0.90431403502396168</c:v>
                </c:pt>
                <c:pt idx="34">
                  <c:v>0.90431403502396168</c:v>
                </c:pt>
                <c:pt idx="35">
                  <c:v>0.90431403502396168</c:v>
                </c:pt>
                <c:pt idx="36">
                  <c:v>0.90431403502396168</c:v>
                </c:pt>
                <c:pt idx="37">
                  <c:v>0.90431403502396168</c:v>
                </c:pt>
                <c:pt idx="38">
                  <c:v>0.90431403502396168</c:v>
                </c:pt>
                <c:pt idx="39">
                  <c:v>0.90431403502396168</c:v>
                </c:pt>
                <c:pt idx="40">
                  <c:v>0.90431403502396168</c:v>
                </c:pt>
                <c:pt idx="41">
                  <c:v>0.90431403502396168</c:v>
                </c:pt>
                <c:pt idx="42">
                  <c:v>0.90431403502396168</c:v>
                </c:pt>
                <c:pt idx="43">
                  <c:v>0.90431403502396168</c:v>
                </c:pt>
                <c:pt idx="44">
                  <c:v>0.88658238727839378</c:v>
                </c:pt>
                <c:pt idx="45">
                  <c:v>0.88658238727839378</c:v>
                </c:pt>
                <c:pt idx="46">
                  <c:v>0.86848886917067136</c:v>
                </c:pt>
                <c:pt idx="47">
                  <c:v>0.86848886917067136</c:v>
                </c:pt>
                <c:pt idx="48">
                  <c:v>0.86848886917067125</c:v>
                </c:pt>
                <c:pt idx="49">
                  <c:v>0.86848886917067125</c:v>
                </c:pt>
                <c:pt idx="50">
                  <c:v>0.86848886917067125</c:v>
                </c:pt>
                <c:pt idx="51">
                  <c:v>0.86848886917067125</c:v>
                </c:pt>
                <c:pt idx="52">
                  <c:v>0.86848886917067125</c:v>
                </c:pt>
                <c:pt idx="53">
                  <c:v>0.86848886917067125</c:v>
                </c:pt>
                <c:pt idx="54">
                  <c:v>0.85001038259257189</c:v>
                </c:pt>
                <c:pt idx="55">
                  <c:v>0.85001038259257189</c:v>
                </c:pt>
                <c:pt idx="56">
                  <c:v>0.85001038259257189</c:v>
                </c:pt>
                <c:pt idx="57">
                  <c:v>0.85001038259257189</c:v>
                </c:pt>
                <c:pt idx="58">
                  <c:v>0.83112126297940359</c:v>
                </c:pt>
                <c:pt idx="59">
                  <c:v>0.83112126297940359</c:v>
                </c:pt>
                <c:pt idx="60">
                  <c:v>0.83112126297940359</c:v>
                </c:pt>
                <c:pt idx="61">
                  <c:v>0.83112126297940359</c:v>
                </c:pt>
                <c:pt idx="62">
                  <c:v>0.83112126297940359</c:v>
                </c:pt>
                <c:pt idx="63">
                  <c:v>0.83112126297940359</c:v>
                </c:pt>
                <c:pt idx="64">
                  <c:v>0.83112126297940359</c:v>
                </c:pt>
                <c:pt idx="65">
                  <c:v>0.83112126297940359</c:v>
                </c:pt>
                <c:pt idx="66">
                  <c:v>0.83112126297940359</c:v>
                </c:pt>
                <c:pt idx="67">
                  <c:v>0.83112126297940359</c:v>
                </c:pt>
                <c:pt idx="68">
                  <c:v>0.83112126297940359</c:v>
                </c:pt>
                <c:pt idx="69">
                  <c:v>0.83112126297940359</c:v>
                </c:pt>
                <c:pt idx="70">
                  <c:v>0.83112126297940359</c:v>
                </c:pt>
                <c:pt idx="71">
                  <c:v>0.83112126297940359</c:v>
                </c:pt>
                <c:pt idx="72">
                  <c:v>0.83112126297940359</c:v>
                </c:pt>
                <c:pt idx="73">
                  <c:v>0.83112126297940359</c:v>
                </c:pt>
                <c:pt idx="74">
                  <c:v>0.80865852614212241</c:v>
                </c:pt>
                <c:pt idx="75">
                  <c:v>0.80865852614212241</c:v>
                </c:pt>
                <c:pt idx="76">
                  <c:v>0.80865852614212241</c:v>
                </c:pt>
                <c:pt idx="77">
                  <c:v>0.80865852614212241</c:v>
                </c:pt>
                <c:pt idx="78">
                  <c:v>0.78619578930484124</c:v>
                </c:pt>
                <c:pt idx="79">
                  <c:v>0.78619578930484124</c:v>
                </c:pt>
                <c:pt idx="80">
                  <c:v>0.78619578930484124</c:v>
                </c:pt>
                <c:pt idx="81">
                  <c:v>0.78619578930484124</c:v>
                </c:pt>
                <c:pt idx="82">
                  <c:v>0.78619578930484124</c:v>
                </c:pt>
                <c:pt idx="83">
                  <c:v>0.78619578930484124</c:v>
                </c:pt>
                <c:pt idx="84">
                  <c:v>0.78619578930484124</c:v>
                </c:pt>
                <c:pt idx="85">
                  <c:v>0.78619578930484124</c:v>
                </c:pt>
                <c:pt idx="86">
                  <c:v>0.78619578930484124</c:v>
                </c:pt>
                <c:pt idx="87">
                  <c:v>0.78619578930484124</c:v>
                </c:pt>
                <c:pt idx="88">
                  <c:v>0.78619578930484124</c:v>
                </c:pt>
                <c:pt idx="89">
                  <c:v>0.78619578930484124</c:v>
                </c:pt>
                <c:pt idx="90">
                  <c:v>0.75908558967363982</c:v>
                </c:pt>
                <c:pt idx="91">
                  <c:v>0.75908558967363982</c:v>
                </c:pt>
                <c:pt idx="92">
                  <c:v>0.75908558967363982</c:v>
                </c:pt>
                <c:pt idx="93">
                  <c:v>0.75908558967363982</c:v>
                </c:pt>
                <c:pt idx="94">
                  <c:v>0.75908558967363982</c:v>
                </c:pt>
                <c:pt idx="95">
                  <c:v>0.75908558967363982</c:v>
                </c:pt>
                <c:pt idx="96">
                  <c:v>0.75908558967363982</c:v>
                </c:pt>
                <c:pt idx="97">
                  <c:v>0.75908558967363982</c:v>
                </c:pt>
                <c:pt idx="98">
                  <c:v>0.75908558967363982</c:v>
                </c:pt>
                <c:pt idx="99">
                  <c:v>0.75908558967363982</c:v>
                </c:pt>
                <c:pt idx="100">
                  <c:v>0.75908558967363982</c:v>
                </c:pt>
                <c:pt idx="101">
                  <c:v>0.75908558967363982</c:v>
                </c:pt>
                <c:pt idx="102">
                  <c:v>0.69835874249974861</c:v>
                </c:pt>
                <c:pt idx="103">
                  <c:v>0.69835874249974861</c:v>
                </c:pt>
                <c:pt idx="104">
                  <c:v>0.69835874249974861</c:v>
                </c:pt>
                <c:pt idx="105">
                  <c:v>0.69835874249974861</c:v>
                </c:pt>
                <c:pt idx="106">
                  <c:v>0.69835874249974861</c:v>
                </c:pt>
                <c:pt idx="107">
                  <c:v>0.69835874249974861</c:v>
                </c:pt>
                <c:pt idx="108">
                  <c:v>0.69835874249974861</c:v>
                </c:pt>
                <c:pt idx="109">
                  <c:v>0.69835874249974861</c:v>
                </c:pt>
                <c:pt idx="110">
                  <c:v>0.69835874249974861</c:v>
                </c:pt>
                <c:pt idx="111">
                  <c:v>0.69835874249974861</c:v>
                </c:pt>
                <c:pt idx="112">
                  <c:v>0.69835874249974861</c:v>
                </c:pt>
                <c:pt idx="113">
                  <c:v>0.69835874249974861</c:v>
                </c:pt>
                <c:pt idx="114">
                  <c:v>0.69835874249974861</c:v>
                </c:pt>
                <c:pt idx="115">
                  <c:v>0.69835874249974861</c:v>
                </c:pt>
                <c:pt idx="116">
                  <c:v>0.69835874249974861</c:v>
                </c:pt>
                <c:pt idx="117">
                  <c:v>0.69835874249974861</c:v>
                </c:pt>
                <c:pt idx="118">
                  <c:v>0.69835874249974861</c:v>
                </c:pt>
                <c:pt idx="119">
                  <c:v>0.69835874249974861</c:v>
                </c:pt>
                <c:pt idx="120">
                  <c:v>0.69835874249974861</c:v>
                </c:pt>
                <c:pt idx="121">
                  <c:v>0.69835874249974861</c:v>
                </c:pt>
                <c:pt idx="122">
                  <c:v>0.69835874249974861</c:v>
                </c:pt>
                <c:pt idx="123">
                  <c:v>0.69835874249974861</c:v>
                </c:pt>
                <c:pt idx="124">
                  <c:v>0.65956103458309601</c:v>
                </c:pt>
                <c:pt idx="125">
                  <c:v>0.65956103458309601</c:v>
                </c:pt>
                <c:pt idx="126">
                  <c:v>0.65956103458309601</c:v>
                </c:pt>
                <c:pt idx="127">
                  <c:v>0.65956103458309601</c:v>
                </c:pt>
                <c:pt idx="128">
                  <c:v>0.65956103458309601</c:v>
                </c:pt>
                <c:pt idx="129">
                  <c:v>0.65956103458309601</c:v>
                </c:pt>
                <c:pt idx="130">
                  <c:v>0.65956103458309601</c:v>
                </c:pt>
                <c:pt idx="131">
                  <c:v>0.65956103458309601</c:v>
                </c:pt>
                <c:pt idx="132">
                  <c:v>0.65956103458309601</c:v>
                </c:pt>
                <c:pt idx="133">
                  <c:v>0.65956103458309601</c:v>
                </c:pt>
                <c:pt idx="134">
                  <c:v>0.65956103458309601</c:v>
                </c:pt>
                <c:pt idx="135">
                  <c:v>0.65956103458309601</c:v>
                </c:pt>
                <c:pt idx="136">
                  <c:v>0.65956103458309601</c:v>
                </c:pt>
                <c:pt idx="137">
                  <c:v>0.65956103458309601</c:v>
                </c:pt>
                <c:pt idx="138">
                  <c:v>0.65956103458309601</c:v>
                </c:pt>
                <c:pt idx="139">
                  <c:v>0.65956103458309601</c:v>
                </c:pt>
                <c:pt idx="140">
                  <c:v>0.65956103458309601</c:v>
                </c:pt>
                <c:pt idx="141">
                  <c:v>0.65956103458309601</c:v>
                </c:pt>
                <c:pt idx="142">
                  <c:v>0.65956103458309601</c:v>
                </c:pt>
                <c:pt idx="143">
                  <c:v>0.65956103458309601</c:v>
                </c:pt>
                <c:pt idx="144">
                  <c:v>0.65956103458309601</c:v>
                </c:pt>
                <c:pt idx="145">
                  <c:v>0.65956103458309601</c:v>
                </c:pt>
                <c:pt idx="146">
                  <c:v>0.65956103458309601</c:v>
                </c:pt>
                <c:pt idx="147">
                  <c:v>0.65956103458309601</c:v>
                </c:pt>
                <c:pt idx="148">
                  <c:v>0.65956103458309601</c:v>
                </c:pt>
                <c:pt idx="149">
                  <c:v>0.65956103458309601</c:v>
                </c:pt>
                <c:pt idx="150">
                  <c:v>0.65956103458309601</c:v>
                </c:pt>
                <c:pt idx="151">
                  <c:v>0.65956103458309601</c:v>
                </c:pt>
                <c:pt idx="152">
                  <c:v>0.65956103458309601</c:v>
                </c:pt>
                <c:pt idx="153">
                  <c:v>0.65956103458309601</c:v>
                </c:pt>
                <c:pt idx="154">
                  <c:v>0.65956103458309601</c:v>
                </c:pt>
                <c:pt idx="155">
                  <c:v>0.65956103458309601</c:v>
                </c:pt>
                <c:pt idx="156">
                  <c:v>0.65956103458309601</c:v>
                </c:pt>
                <c:pt idx="157">
                  <c:v>0.65956103458309601</c:v>
                </c:pt>
                <c:pt idx="158">
                  <c:v>0.65956103458309601</c:v>
                </c:pt>
                <c:pt idx="159">
                  <c:v>0.65956103458309601</c:v>
                </c:pt>
                <c:pt idx="160">
                  <c:v>0.65956103458309601</c:v>
                </c:pt>
                <c:pt idx="161">
                  <c:v>0.65956103458309601</c:v>
                </c:pt>
                <c:pt idx="162">
                  <c:v>0.65956103458309601</c:v>
                </c:pt>
                <c:pt idx="163">
                  <c:v>0.65956103458309601</c:v>
                </c:pt>
                <c:pt idx="164">
                  <c:v>0.65956103458309601</c:v>
                </c:pt>
                <c:pt idx="165">
                  <c:v>0.65956103458309601</c:v>
                </c:pt>
                <c:pt idx="166">
                  <c:v>0.61244953211287478</c:v>
                </c:pt>
                <c:pt idx="167">
                  <c:v>0.61244953211287478</c:v>
                </c:pt>
                <c:pt idx="168">
                  <c:v>0.61244953211287478</c:v>
                </c:pt>
                <c:pt idx="169">
                  <c:v>0.61244953211287478</c:v>
                </c:pt>
                <c:pt idx="170">
                  <c:v>0.61244953211287478</c:v>
                </c:pt>
                <c:pt idx="171">
                  <c:v>0.61244953211287478</c:v>
                </c:pt>
                <c:pt idx="172">
                  <c:v>0.61244953211287478</c:v>
                </c:pt>
                <c:pt idx="173">
                  <c:v>0.61244953211287478</c:v>
                </c:pt>
                <c:pt idx="174">
                  <c:v>0.61244953211287478</c:v>
                </c:pt>
                <c:pt idx="175">
                  <c:v>0.61244953211287478</c:v>
                </c:pt>
                <c:pt idx="176">
                  <c:v>0.61244953211287478</c:v>
                </c:pt>
                <c:pt idx="177">
                  <c:v>0.61244953211287478</c:v>
                </c:pt>
                <c:pt idx="178">
                  <c:v>0.61244953211287478</c:v>
                </c:pt>
                <c:pt idx="179">
                  <c:v>0.61244953211287478</c:v>
                </c:pt>
                <c:pt idx="180">
                  <c:v>0.61244953211287478</c:v>
                </c:pt>
                <c:pt idx="181">
                  <c:v>0.61244953211287478</c:v>
                </c:pt>
                <c:pt idx="182">
                  <c:v>0.61244953211287478</c:v>
                </c:pt>
                <c:pt idx="183">
                  <c:v>0.61244953211287478</c:v>
                </c:pt>
                <c:pt idx="184">
                  <c:v>0.61244953211287478</c:v>
                </c:pt>
                <c:pt idx="185">
                  <c:v>0.61244953211287478</c:v>
                </c:pt>
                <c:pt idx="186">
                  <c:v>0.61244953211287478</c:v>
                </c:pt>
                <c:pt idx="187">
                  <c:v>0.61244953211287478</c:v>
                </c:pt>
                <c:pt idx="188">
                  <c:v>0.61244953211287478</c:v>
                </c:pt>
                <c:pt idx="189">
                  <c:v>0.61244953211287478</c:v>
                </c:pt>
                <c:pt idx="190">
                  <c:v>0.54439958410033318</c:v>
                </c:pt>
                <c:pt idx="191">
                  <c:v>0.54439958410033318</c:v>
                </c:pt>
                <c:pt idx="192">
                  <c:v>0.54439958410033318</c:v>
                </c:pt>
                <c:pt idx="193">
                  <c:v>0.54439958410033318</c:v>
                </c:pt>
                <c:pt idx="194">
                  <c:v>0.54439958410033318</c:v>
                </c:pt>
                <c:pt idx="195">
                  <c:v>0.54439958410033318</c:v>
                </c:pt>
                <c:pt idx="196">
                  <c:v>0.54439958410033318</c:v>
                </c:pt>
                <c:pt idx="197">
                  <c:v>0.54439958410033318</c:v>
                </c:pt>
                <c:pt idx="198">
                  <c:v>0.54439958410033318</c:v>
                </c:pt>
                <c:pt idx="199">
                  <c:v>0.54439958410033318</c:v>
                </c:pt>
                <c:pt idx="200">
                  <c:v>0.54439958410033318</c:v>
                </c:pt>
                <c:pt idx="201">
                  <c:v>0.54439958410033318</c:v>
                </c:pt>
                <c:pt idx="202">
                  <c:v>0.54439958410033318</c:v>
                </c:pt>
                <c:pt idx="203">
                  <c:v>0.54439958410033318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7-48E9-A9AF-E2A6BF944316}"/>
            </c:ext>
          </c:extLst>
        </c:ser>
        <c:ser>
          <c:idx val="1"/>
          <c:order val="1"/>
          <c:tx>
            <c:strRef>
              <c:f>COAD!$W$8</c:f>
              <c:strCache>
                <c:ptCount val="1"/>
                <c:pt idx="0">
                  <c:v>IL11-High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COAD!$U$9:$U$212</c:f>
              <c:numCache>
                <c:formatCode>General</c:formatCode>
                <c:ptCount val="20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17</c:v>
                </c:pt>
                <c:pt idx="34">
                  <c:v>17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20</c:v>
                </c:pt>
                <c:pt idx="40">
                  <c:v>20</c:v>
                </c:pt>
                <c:pt idx="41">
                  <c:v>21</c:v>
                </c:pt>
                <c:pt idx="42">
                  <c:v>21</c:v>
                </c:pt>
                <c:pt idx="43">
                  <c:v>22</c:v>
                </c:pt>
                <c:pt idx="44">
                  <c:v>22</c:v>
                </c:pt>
                <c:pt idx="45">
                  <c:v>23</c:v>
                </c:pt>
                <c:pt idx="46">
                  <c:v>23</c:v>
                </c:pt>
                <c:pt idx="47">
                  <c:v>24</c:v>
                </c:pt>
                <c:pt idx="48">
                  <c:v>24</c:v>
                </c:pt>
                <c:pt idx="49">
                  <c:v>25</c:v>
                </c:pt>
                <c:pt idx="50">
                  <c:v>25</c:v>
                </c:pt>
                <c:pt idx="51">
                  <c:v>26</c:v>
                </c:pt>
                <c:pt idx="52">
                  <c:v>26</c:v>
                </c:pt>
                <c:pt idx="53">
                  <c:v>27</c:v>
                </c:pt>
                <c:pt idx="54">
                  <c:v>27</c:v>
                </c:pt>
                <c:pt idx="55">
                  <c:v>28</c:v>
                </c:pt>
                <c:pt idx="56">
                  <c:v>28</c:v>
                </c:pt>
                <c:pt idx="57">
                  <c:v>29</c:v>
                </c:pt>
                <c:pt idx="58">
                  <c:v>29</c:v>
                </c:pt>
                <c:pt idx="59">
                  <c:v>30</c:v>
                </c:pt>
                <c:pt idx="60">
                  <c:v>30</c:v>
                </c:pt>
                <c:pt idx="61">
                  <c:v>31</c:v>
                </c:pt>
                <c:pt idx="62">
                  <c:v>31</c:v>
                </c:pt>
                <c:pt idx="63">
                  <c:v>32</c:v>
                </c:pt>
                <c:pt idx="64">
                  <c:v>32</c:v>
                </c:pt>
                <c:pt idx="65">
                  <c:v>33</c:v>
                </c:pt>
                <c:pt idx="66">
                  <c:v>33</c:v>
                </c:pt>
                <c:pt idx="67">
                  <c:v>34</c:v>
                </c:pt>
                <c:pt idx="68">
                  <c:v>34</c:v>
                </c:pt>
                <c:pt idx="69">
                  <c:v>35</c:v>
                </c:pt>
                <c:pt idx="70">
                  <c:v>35</c:v>
                </c:pt>
                <c:pt idx="71">
                  <c:v>36</c:v>
                </c:pt>
                <c:pt idx="72">
                  <c:v>36</c:v>
                </c:pt>
                <c:pt idx="73">
                  <c:v>37</c:v>
                </c:pt>
                <c:pt idx="74">
                  <c:v>37</c:v>
                </c:pt>
                <c:pt idx="75">
                  <c:v>38</c:v>
                </c:pt>
                <c:pt idx="76">
                  <c:v>38</c:v>
                </c:pt>
                <c:pt idx="77">
                  <c:v>39</c:v>
                </c:pt>
                <c:pt idx="78">
                  <c:v>39</c:v>
                </c:pt>
                <c:pt idx="79">
                  <c:v>40</c:v>
                </c:pt>
                <c:pt idx="80">
                  <c:v>40</c:v>
                </c:pt>
                <c:pt idx="81">
                  <c:v>41</c:v>
                </c:pt>
                <c:pt idx="82">
                  <c:v>41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44</c:v>
                </c:pt>
                <c:pt idx="88">
                  <c:v>44</c:v>
                </c:pt>
                <c:pt idx="89">
                  <c:v>45</c:v>
                </c:pt>
                <c:pt idx="90">
                  <c:v>45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47</c:v>
                </c:pt>
                <c:pt idx="95">
                  <c:v>48</c:v>
                </c:pt>
                <c:pt idx="96">
                  <c:v>48</c:v>
                </c:pt>
                <c:pt idx="97">
                  <c:v>49</c:v>
                </c:pt>
                <c:pt idx="98">
                  <c:v>49</c:v>
                </c:pt>
                <c:pt idx="99">
                  <c:v>50</c:v>
                </c:pt>
                <c:pt idx="100">
                  <c:v>50</c:v>
                </c:pt>
                <c:pt idx="101">
                  <c:v>51</c:v>
                </c:pt>
                <c:pt idx="102">
                  <c:v>51</c:v>
                </c:pt>
                <c:pt idx="103">
                  <c:v>52</c:v>
                </c:pt>
                <c:pt idx="104">
                  <c:v>52</c:v>
                </c:pt>
                <c:pt idx="105">
                  <c:v>53</c:v>
                </c:pt>
                <c:pt idx="106">
                  <c:v>53</c:v>
                </c:pt>
                <c:pt idx="107">
                  <c:v>54</c:v>
                </c:pt>
                <c:pt idx="108">
                  <c:v>54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56</c:v>
                </c:pt>
                <c:pt idx="113">
                  <c:v>57</c:v>
                </c:pt>
                <c:pt idx="114">
                  <c:v>57</c:v>
                </c:pt>
                <c:pt idx="115">
                  <c:v>58</c:v>
                </c:pt>
                <c:pt idx="116">
                  <c:v>58</c:v>
                </c:pt>
                <c:pt idx="117">
                  <c:v>59</c:v>
                </c:pt>
                <c:pt idx="118">
                  <c:v>59</c:v>
                </c:pt>
                <c:pt idx="119">
                  <c:v>60</c:v>
                </c:pt>
                <c:pt idx="120">
                  <c:v>60</c:v>
                </c:pt>
                <c:pt idx="121">
                  <c:v>61</c:v>
                </c:pt>
                <c:pt idx="122">
                  <c:v>61</c:v>
                </c:pt>
                <c:pt idx="123">
                  <c:v>62</c:v>
                </c:pt>
                <c:pt idx="124">
                  <c:v>62</c:v>
                </c:pt>
                <c:pt idx="125">
                  <c:v>63</c:v>
                </c:pt>
                <c:pt idx="126">
                  <c:v>63</c:v>
                </c:pt>
                <c:pt idx="127">
                  <c:v>64</c:v>
                </c:pt>
                <c:pt idx="128">
                  <c:v>64</c:v>
                </c:pt>
                <c:pt idx="129">
                  <c:v>65</c:v>
                </c:pt>
                <c:pt idx="130">
                  <c:v>65</c:v>
                </c:pt>
                <c:pt idx="131">
                  <c:v>66</c:v>
                </c:pt>
                <c:pt idx="132">
                  <c:v>66</c:v>
                </c:pt>
                <c:pt idx="133">
                  <c:v>67</c:v>
                </c:pt>
                <c:pt idx="134">
                  <c:v>67</c:v>
                </c:pt>
                <c:pt idx="135">
                  <c:v>68</c:v>
                </c:pt>
                <c:pt idx="136">
                  <c:v>68</c:v>
                </c:pt>
                <c:pt idx="137">
                  <c:v>69</c:v>
                </c:pt>
                <c:pt idx="138">
                  <c:v>69</c:v>
                </c:pt>
                <c:pt idx="139">
                  <c:v>70</c:v>
                </c:pt>
                <c:pt idx="140">
                  <c:v>70</c:v>
                </c:pt>
                <c:pt idx="141">
                  <c:v>71</c:v>
                </c:pt>
                <c:pt idx="142">
                  <c:v>71</c:v>
                </c:pt>
                <c:pt idx="143">
                  <c:v>72</c:v>
                </c:pt>
                <c:pt idx="144">
                  <c:v>72</c:v>
                </c:pt>
                <c:pt idx="145">
                  <c:v>73</c:v>
                </c:pt>
                <c:pt idx="146">
                  <c:v>73</c:v>
                </c:pt>
                <c:pt idx="147">
                  <c:v>74</c:v>
                </c:pt>
                <c:pt idx="148">
                  <c:v>74</c:v>
                </c:pt>
                <c:pt idx="149">
                  <c:v>75</c:v>
                </c:pt>
                <c:pt idx="150">
                  <c:v>75</c:v>
                </c:pt>
                <c:pt idx="151">
                  <c:v>76</c:v>
                </c:pt>
                <c:pt idx="152">
                  <c:v>76</c:v>
                </c:pt>
                <c:pt idx="153">
                  <c:v>77</c:v>
                </c:pt>
                <c:pt idx="154">
                  <c:v>77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79</c:v>
                </c:pt>
                <c:pt idx="159">
                  <c:v>80</c:v>
                </c:pt>
                <c:pt idx="160">
                  <c:v>80</c:v>
                </c:pt>
                <c:pt idx="161">
                  <c:v>81</c:v>
                </c:pt>
                <c:pt idx="162">
                  <c:v>81</c:v>
                </c:pt>
                <c:pt idx="163">
                  <c:v>82</c:v>
                </c:pt>
                <c:pt idx="164">
                  <c:v>82</c:v>
                </c:pt>
                <c:pt idx="165">
                  <c:v>83</c:v>
                </c:pt>
                <c:pt idx="166">
                  <c:v>83</c:v>
                </c:pt>
                <c:pt idx="167">
                  <c:v>84</c:v>
                </c:pt>
                <c:pt idx="168">
                  <c:v>84</c:v>
                </c:pt>
                <c:pt idx="169">
                  <c:v>85</c:v>
                </c:pt>
                <c:pt idx="170">
                  <c:v>85</c:v>
                </c:pt>
                <c:pt idx="171">
                  <c:v>86</c:v>
                </c:pt>
                <c:pt idx="172">
                  <c:v>86</c:v>
                </c:pt>
                <c:pt idx="173">
                  <c:v>87</c:v>
                </c:pt>
                <c:pt idx="174">
                  <c:v>87</c:v>
                </c:pt>
                <c:pt idx="175">
                  <c:v>88</c:v>
                </c:pt>
                <c:pt idx="176">
                  <c:v>88</c:v>
                </c:pt>
                <c:pt idx="177">
                  <c:v>89</c:v>
                </c:pt>
                <c:pt idx="178">
                  <c:v>89</c:v>
                </c:pt>
                <c:pt idx="179">
                  <c:v>90</c:v>
                </c:pt>
                <c:pt idx="180">
                  <c:v>90</c:v>
                </c:pt>
                <c:pt idx="181">
                  <c:v>91</c:v>
                </c:pt>
                <c:pt idx="182">
                  <c:v>91</c:v>
                </c:pt>
                <c:pt idx="183">
                  <c:v>92</c:v>
                </c:pt>
                <c:pt idx="184">
                  <c:v>92</c:v>
                </c:pt>
                <c:pt idx="185">
                  <c:v>93</c:v>
                </c:pt>
                <c:pt idx="186">
                  <c:v>93</c:v>
                </c:pt>
                <c:pt idx="187">
                  <c:v>94</c:v>
                </c:pt>
                <c:pt idx="188">
                  <c:v>94</c:v>
                </c:pt>
                <c:pt idx="189">
                  <c:v>95</c:v>
                </c:pt>
                <c:pt idx="190">
                  <c:v>95</c:v>
                </c:pt>
                <c:pt idx="191">
                  <c:v>96</c:v>
                </c:pt>
                <c:pt idx="192">
                  <c:v>96</c:v>
                </c:pt>
                <c:pt idx="193">
                  <c:v>97</c:v>
                </c:pt>
                <c:pt idx="194">
                  <c:v>97</c:v>
                </c:pt>
                <c:pt idx="195">
                  <c:v>98</c:v>
                </c:pt>
                <c:pt idx="196">
                  <c:v>98</c:v>
                </c:pt>
                <c:pt idx="197">
                  <c:v>99</c:v>
                </c:pt>
                <c:pt idx="198">
                  <c:v>99</c:v>
                </c:pt>
                <c:pt idx="199">
                  <c:v>100</c:v>
                </c:pt>
                <c:pt idx="200">
                  <c:v>100</c:v>
                </c:pt>
                <c:pt idx="201">
                  <c:v>101</c:v>
                </c:pt>
                <c:pt idx="202">
                  <c:v>101</c:v>
                </c:pt>
                <c:pt idx="203">
                  <c:v>102</c:v>
                </c:pt>
              </c:numCache>
            </c:numRef>
          </c:xVal>
          <c:yVal>
            <c:numRef>
              <c:f>COAD!$W$9:$W$212</c:f>
              <c:numCache>
                <c:formatCode>General</c:formatCode>
                <c:ptCount val="204"/>
                <c:pt idx="0">
                  <c:v>1</c:v>
                </c:pt>
                <c:pt idx="1">
                  <c:v>1</c:v>
                </c:pt>
                <c:pt idx="2">
                  <c:v>0.98750000000000004</c:v>
                </c:pt>
                <c:pt idx="3">
                  <c:v>0.98750000000000004</c:v>
                </c:pt>
                <c:pt idx="4">
                  <c:v>0.97940573770491812</c:v>
                </c:pt>
                <c:pt idx="5">
                  <c:v>0.97940573770491812</c:v>
                </c:pt>
                <c:pt idx="6">
                  <c:v>0.95429277007145874</c:v>
                </c:pt>
                <c:pt idx="7">
                  <c:v>0.95429277007145874</c:v>
                </c:pt>
                <c:pt idx="8">
                  <c:v>0.9456173812526274</c:v>
                </c:pt>
                <c:pt idx="9">
                  <c:v>0.9456173812526274</c:v>
                </c:pt>
                <c:pt idx="10">
                  <c:v>0.9364366299783301</c:v>
                </c:pt>
                <c:pt idx="11">
                  <c:v>0.9364366299783301</c:v>
                </c:pt>
                <c:pt idx="12">
                  <c:v>0.88662617093692953</c:v>
                </c:pt>
                <c:pt idx="13">
                  <c:v>0.88662617093692953</c:v>
                </c:pt>
                <c:pt idx="14">
                  <c:v>0.88662617093692953</c:v>
                </c:pt>
                <c:pt idx="15">
                  <c:v>0.88662617093692953</c:v>
                </c:pt>
                <c:pt idx="16">
                  <c:v>0.87431191856280543</c:v>
                </c:pt>
                <c:pt idx="17">
                  <c:v>0.87431191856280543</c:v>
                </c:pt>
                <c:pt idx="18">
                  <c:v>0.87431191856280543</c:v>
                </c:pt>
                <c:pt idx="19">
                  <c:v>0.87431191856280543</c:v>
                </c:pt>
                <c:pt idx="20">
                  <c:v>0.86043395160149105</c:v>
                </c:pt>
                <c:pt idx="21">
                  <c:v>0.86043395160149105</c:v>
                </c:pt>
                <c:pt idx="22">
                  <c:v>0.86043395160149105</c:v>
                </c:pt>
                <c:pt idx="23">
                  <c:v>0.86043395160149105</c:v>
                </c:pt>
                <c:pt idx="24">
                  <c:v>0.84533861911725428</c:v>
                </c:pt>
                <c:pt idx="25">
                  <c:v>0.84533861911725428</c:v>
                </c:pt>
                <c:pt idx="26">
                  <c:v>0.81282559530505216</c:v>
                </c:pt>
                <c:pt idx="27">
                  <c:v>0.81282559530505216</c:v>
                </c:pt>
                <c:pt idx="28">
                  <c:v>0.81282559530505216</c:v>
                </c:pt>
                <c:pt idx="29">
                  <c:v>0.81282559530505216</c:v>
                </c:pt>
                <c:pt idx="30">
                  <c:v>0.75981523039385312</c:v>
                </c:pt>
                <c:pt idx="31">
                  <c:v>0.75981523039385312</c:v>
                </c:pt>
                <c:pt idx="32">
                  <c:v>0.75981523039385312</c:v>
                </c:pt>
                <c:pt idx="33">
                  <c:v>0.75981523039385312</c:v>
                </c:pt>
                <c:pt idx="34">
                  <c:v>0.72182446887416041</c:v>
                </c:pt>
                <c:pt idx="35">
                  <c:v>0.72182446887416041</c:v>
                </c:pt>
                <c:pt idx="36">
                  <c:v>0.72182446887416041</c:v>
                </c:pt>
                <c:pt idx="37">
                  <c:v>0.72182446887416041</c:v>
                </c:pt>
                <c:pt idx="38">
                  <c:v>0.72182446887416041</c:v>
                </c:pt>
                <c:pt idx="39">
                  <c:v>0.72182446887416041</c:v>
                </c:pt>
                <c:pt idx="40">
                  <c:v>0.72182446887416041</c:v>
                </c:pt>
                <c:pt idx="41">
                  <c:v>0.72182446887416041</c:v>
                </c:pt>
                <c:pt idx="42">
                  <c:v>0.72182446887416041</c:v>
                </c:pt>
                <c:pt idx="43">
                  <c:v>0.72182446887416041</c:v>
                </c:pt>
                <c:pt idx="44">
                  <c:v>0.72182446887416041</c:v>
                </c:pt>
                <c:pt idx="45">
                  <c:v>0.72182446887416041</c:v>
                </c:pt>
                <c:pt idx="46">
                  <c:v>0.6985398085878971</c:v>
                </c:pt>
                <c:pt idx="47">
                  <c:v>0.6985398085878971</c:v>
                </c:pt>
                <c:pt idx="48">
                  <c:v>0.67445222898141788</c:v>
                </c:pt>
                <c:pt idx="49">
                  <c:v>0.67445222898141788</c:v>
                </c:pt>
                <c:pt idx="50">
                  <c:v>0.64947251679692086</c:v>
                </c:pt>
                <c:pt idx="51">
                  <c:v>0.64947251679692086</c:v>
                </c:pt>
                <c:pt idx="52">
                  <c:v>0.62449280461242396</c:v>
                </c:pt>
                <c:pt idx="53">
                  <c:v>0.62449280461242396</c:v>
                </c:pt>
                <c:pt idx="54">
                  <c:v>0.62449280461242396</c:v>
                </c:pt>
                <c:pt idx="55">
                  <c:v>0.62449280461242396</c:v>
                </c:pt>
                <c:pt idx="56">
                  <c:v>0.62449280461242396</c:v>
                </c:pt>
                <c:pt idx="57">
                  <c:v>0.62449280461242396</c:v>
                </c:pt>
                <c:pt idx="58">
                  <c:v>0.62449280461242396</c:v>
                </c:pt>
                <c:pt idx="59">
                  <c:v>0.62449280461242396</c:v>
                </c:pt>
                <c:pt idx="60">
                  <c:v>0.59847227108690626</c:v>
                </c:pt>
                <c:pt idx="61">
                  <c:v>0.59847227108690626</c:v>
                </c:pt>
                <c:pt idx="62">
                  <c:v>0.59847227108690626</c:v>
                </c:pt>
                <c:pt idx="63">
                  <c:v>0.59847227108690626</c:v>
                </c:pt>
                <c:pt idx="64">
                  <c:v>0.59847227108690626</c:v>
                </c:pt>
                <c:pt idx="65">
                  <c:v>0.59847227108690626</c:v>
                </c:pt>
                <c:pt idx="66">
                  <c:v>0.59847227108690626</c:v>
                </c:pt>
                <c:pt idx="67">
                  <c:v>0.59847227108690626</c:v>
                </c:pt>
                <c:pt idx="68">
                  <c:v>0.59847227108690626</c:v>
                </c:pt>
                <c:pt idx="69">
                  <c:v>0.59847227108690626</c:v>
                </c:pt>
                <c:pt idx="70">
                  <c:v>0.59847227108690626</c:v>
                </c:pt>
                <c:pt idx="71">
                  <c:v>0.59847227108690626</c:v>
                </c:pt>
                <c:pt idx="72">
                  <c:v>0.59847227108690626</c:v>
                </c:pt>
                <c:pt idx="73">
                  <c:v>0.59847227108690626</c:v>
                </c:pt>
                <c:pt idx="74">
                  <c:v>0.59847227108690626</c:v>
                </c:pt>
                <c:pt idx="75">
                  <c:v>0.59847227108690626</c:v>
                </c:pt>
                <c:pt idx="76">
                  <c:v>0.59847227108690626</c:v>
                </c:pt>
                <c:pt idx="77">
                  <c:v>0.59847227108690626</c:v>
                </c:pt>
                <c:pt idx="78">
                  <c:v>0.59847227108690626</c:v>
                </c:pt>
                <c:pt idx="79">
                  <c:v>0.59847227108690626</c:v>
                </c:pt>
                <c:pt idx="80">
                  <c:v>0.59847227108690626</c:v>
                </c:pt>
                <c:pt idx="81">
                  <c:v>0.59847227108690626</c:v>
                </c:pt>
                <c:pt idx="82">
                  <c:v>0.59847227108690626</c:v>
                </c:pt>
                <c:pt idx="83">
                  <c:v>0.59847227108690626</c:v>
                </c:pt>
                <c:pt idx="84">
                  <c:v>0.59847227108690626</c:v>
                </c:pt>
                <c:pt idx="85">
                  <c:v>0.59847227108690626</c:v>
                </c:pt>
                <c:pt idx="86">
                  <c:v>0.59847227108690626</c:v>
                </c:pt>
                <c:pt idx="87">
                  <c:v>0.59847227108690626</c:v>
                </c:pt>
                <c:pt idx="88">
                  <c:v>0.59847227108690626</c:v>
                </c:pt>
                <c:pt idx="89">
                  <c:v>0.59847227108690626</c:v>
                </c:pt>
                <c:pt idx="90">
                  <c:v>0.59847227108690626</c:v>
                </c:pt>
                <c:pt idx="91">
                  <c:v>0.59847227108690626</c:v>
                </c:pt>
                <c:pt idx="92">
                  <c:v>0.59847227108690626</c:v>
                </c:pt>
                <c:pt idx="93">
                  <c:v>0.59847227108690626</c:v>
                </c:pt>
                <c:pt idx="94">
                  <c:v>0.59847227108690626</c:v>
                </c:pt>
                <c:pt idx="95">
                  <c:v>0.59847227108690626</c:v>
                </c:pt>
                <c:pt idx="96">
                  <c:v>0.56326801984649999</c:v>
                </c:pt>
                <c:pt idx="97">
                  <c:v>0.56326801984649999</c:v>
                </c:pt>
                <c:pt idx="98">
                  <c:v>0.56326801984649999</c:v>
                </c:pt>
                <c:pt idx="99">
                  <c:v>0.56326801984649999</c:v>
                </c:pt>
                <c:pt idx="100">
                  <c:v>0.56326801984649999</c:v>
                </c:pt>
                <c:pt idx="101">
                  <c:v>0.56326801984649999</c:v>
                </c:pt>
                <c:pt idx="102">
                  <c:v>0.56326801984649999</c:v>
                </c:pt>
                <c:pt idx="103">
                  <c:v>0.56326801984649999</c:v>
                </c:pt>
                <c:pt idx="104">
                  <c:v>0.56326801984649999</c:v>
                </c:pt>
                <c:pt idx="105">
                  <c:v>0.56326801984649999</c:v>
                </c:pt>
                <c:pt idx="106">
                  <c:v>0.56326801984649999</c:v>
                </c:pt>
                <c:pt idx="107">
                  <c:v>0.56326801984649999</c:v>
                </c:pt>
                <c:pt idx="108">
                  <c:v>0.56326801984649999</c:v>
                </c:pt>
                <c:pt idx="109">
                  <c:v>0.56326801984649999</c:v>
                </c:pt>
                <c:pt idx="110">
                  <c:v>0.56326801984649999</c:v>
                </c:pt>
                <c:pt idx="111">
                  <c:v>0.56326801984649999</c:v>
                </c:pt>
                <c:pt idx="112">
                  <c:v>0.56326801984649999</c:v>
                </c:pt>
                <c:pt idx="113">
                  <c:v>0.56326801984649999</c:v>
                </c:pt>
                <c:pt idx="114">
                  <c:v>0.56326801984649999</c:v>
                </c:pt>
                <c:pt idx="115">
                  <c:v>0.56326801984649999</c:v>
                </c:pt>
                <c:pt idx="116">
                  <c:v>0.56326801984649999</c:v>
                </c:pt>
                <c:pt idx="117">
                  <c:v>0.56326801984649999</c:v>
                </c:pt>
                <c:pt idx="118">
                  <c:v>0.56326801984649999</c:v>
                </c:pt>
                <c:pt idx="119">
                  <c:v>0.56326801984649999</c:v>
                </c:pt>
                <c:pt idx="120">
                  <c:v>0.56326801984649999</c:v>
                </c:pt>
                <c:pt idx="121">
                  <c:v>0.56326801984649999</c:v>
                </c:pt>
                <c:pt idx="122">
                  <c:v>0.56326801984649999</c:v>
                </c:pt>
                <c:pt idx="123">
                  <c:v>0.56326801984649999</c:v>
                </c:pt>
                <c:pt idx="124">
                  <c:v>0.56326801984649999</c:v>
                </c:pt>
                <c:pt idx="125">
                  <c:v>0.56326801984649999</c:v>
                </c:pt>
                <c:pt idx="126">
                  <c:v>0.49285951736568751</c:v>
                </c:pt>
                <c:pt idx="127">
                  <c:v>0.49285951736568751</c:v>
                </c:pt>
                <c:pt idx="128">
                  <c:v>0.42245101488487496</c:v>
                </c:pt>
                <c:pt idx="129">
                  <c:v>0.42245101488487496</c:v>
                </c:pt>
                <c:pt idx="130">
                  <c:v>0.42245101488487496</c:v>
                </c:pt>
                <c:pt idx="131">
                  <c:v>0.42245101488487496</c:v>
                </c:pt>
                <c:pt idx="132">
                  <c:v>0.42245101488487496</c:v>
                </c:pt>
                <c:pt idx="133">
                  <c:v>0.42245101488487496</c:v>
                </c:pt>
                <c:pt idx="134">
                  <c:v>0.42245101488487496</c:v>
                </c:pt>
                <c:pt idx="135">
                  <c:v>0.42245101488487496</c:v>
                </c:pt>
                <c:pt idx="136">
                  <c:v>0.42245101488487496</c:v>
                </c:pt>
                <c:pt idx="137">
                  <c:v>0.42245101488487496</c:v>
                </c:pt>
                <c:pt idx="138">
                  <c:v>0.42245101488487496</c:v>
                </c:pt>
                <c:pt idx="139">
                  <c:v>0.42245101488487496</c:v>
                </c:pt>
                <c:pt idx="140">
                  <c:v>0.42245101488487496</c:v>
                </c:pt>
                <c:pt idx="141">
                  <c:v>0.42245101488487496</c:v>
                </c:pt>
                <c:pt idx="142">
                  <c:v>0.42245101488487496</c:v>
                </c:pt>
                <c:pt idx="143">
                  <c:v>0.42245101488487496</c:v>
                </c:pt>
                <c:pt idx="144">
                  <c:v>0.42245101488487496</c:v>
                </c:pt>
                <c:pt idx="145">
                  <c:v>0.42245101488487496</c:v>
                </c:pt>
                <c:pt idx="146">
                  <c:v>0.42245101488487496</c:v>
                </c:pt>
                <c:pt idx="147">
                  <c:v>0.42245101488487496</c:v>
                </c:pt>
                <c:pt idx="148">
                  <c:v>0.42245101488487496</c:v>
                </c:pt>
                <c:pt idx="149">
                  <c:v>0.42245101488487496</c:v>
                </c:pt>
                <c:pt idx="150">
                  <c:v>0.42245101488487496</c:v>
                </c:pt>
                <c:pt idx="151">
                  <c:v>0.42245101488487496</c:v>
                </c:pt>
                <c:pt idx="152">
                  <c:v>0.42245101488487496</c:v>
                </c:pt>
                <c:pt idx="153">
                  <c:v>0.42245101488487496</c:v>
                </c:pt>
                <c:pt idx="154">
                  <c:v>0.42245101488487496</c:v>
                </c:pt>
                <c:pt idx="155">
                  <c:v>0.42245101488487496</c:v>
                </c:pt>
                <c:pt idx="156">
                  <c:v>0.42245101488487496</c:v>
                </c:pt>
                <c:pt idx="157">
                  <c:v>0.42245101488487496</c:v>
                </c:pt>
                <c:pt idx="158">
                  <c:v>0.42245101488487496</c:v>
                </c:pt>
                <c:pt idx="159">
                  <c:v>0.42245101488487496</c:v>
                </c:pt>
                <c:pt idx="160">
                  <c:v>0.42245101488487496</c:v>
                </c:pt>
                <c:pt idx="161">
                  <c:v>0.42245101488487496</c:v>
                </c:pt>
                <c:pt idx="162">
                  <c:v>0.42245101488487496</c:v>
                </c:pt>
                <c:pt idx="163">
                  <c:v>0.42245101488487496</c:v>
                </c:pt>
                <c:pt idx="164">
                  <c:v>0.42245101488487496</c:v>
                </c:pt>
                <c:pt idx="165">
                  <c:v>0.42245101488487496</c:v>
                </c:pt>
                <c:pt idx="166">
                  <c:v>0.42245101488487496</c:v>
                </c:pt>
                <c:pt idx="167">
                  <c:v>0.42245101488487496</c:v>
                </c:pt>
                <c:pt idx="168">
                  <c:v>0.42245101488487496</c:v>
                </c:pt>
                <c:pt idx="169">
                  <c:v>0.42245101488487496</c:v>
                </c:pt>
                <c:pt idx="170">
                  <c:v>0.42245101488487496</c:v>
                </c:pt>
                <c:pt idx="171">
                  <c:v>0.42245101488487496</c:v>
                </c:pt>
                <c:pt idx="172">
                  <c:v>0.42245101488487496</c:v>
                </c:pt>
                <c:pt idx="173">
                  <c:v>0.42245101488487496</c:v>
                </c:pt>
                <c:pt idx="174">
                  <c:v>0.42245101488487496</c:v>
                </c:pt>
                <c:pt idx="175">
                  <c:v>0.42245101488487496</c:v>
                </c:pt>
                <c:pt idx="176">
                  <c:v>0.42245101488487496</c:v>
                </c:pt>
                <c:pt idx="177">
                  <c:v>0.42245101488487496</c:v>
                </c:pt>
                <c:pt idx="178">
                  <c:v>0.42245101488487496</c:v>
                </c:pt>
                <c:pt idx="179">
                  <c:v>0.42245101488487496</c:v>
                </c:pt>
                <c:pt idx="180">
                  <c:v>0.42245101488487496</c:v>
                </c:pt>
                <c:pt idx="181">
                  <c:v>0.42245101488487496</c:v>
                </c:pt>
                <c:pt idx="182">
                  <c:v>0.42245101488487496</c:v>
                </c:pt>
                <c:pt idx="183">
                  <c:v>0.42245101488487496</c:v>
                </c:pt>
                <c:pt idx="184">
                  <c:v>0.42245101488487496</c:v>
                </c:pt>
                <c:pt idx="185">
                  <c:v>0.42245101488487496</c:v>
                </c:pt>
                <c:pt idx="186">
                  <c:v>0.42245101488487496</c:v>
                </c:pt>
                <c:pt idx="187">
                  <c:v>0.42245101488487496</c:v>
                </c:pt>
                <c:pt idx="188">
                  <c:v>0.42245101488487496</c:v>
                </c:pt>
                <c:pt idx="189">
                  <c:v>0.42245101488487496</c:v>
                </c:pt>
                <c:pt idx="190">
                  <c:v>0.42245101488487496</c:v>
                </c:pt>
                <c:pt idx="191">
                  <c:v>0.42245101488487496</c:v>
                </c:pt>
                <c:pt idx="192">
                  <c:v>0.42245101488487496</c:v>
                </c:pt>
                <c:pt idx="193">
                  <c:v>0.42245101488487496</c:v>
                </c:pt>
                <c:pt idx="194">
                  <c:v>0.42245101488487496</c:v>
                </c:pt>
                <c:pt idx="195">
                  <c:v>0.42245101488487496</c:v>
                </c:pt>
                <c:pt idx="196">
                  <c:v>0.42245101488487496</c:v>
                </c:pt>
                <c:pt idx="197">
                  <c:v>0.42245101488487496</c:v>
                </c:pt>
                <c:pt idx="198">
                  <c:v>0.42245101488487496</c:v>
                </c:pt>
                <c:pt idx="199">
                  <c:v>0.42245101488487496</c:v>
                </c:pt>
                <c:pt idx="200">
                  <c:v>0.42245101488487496</c:v>
                </c:pt>
                <c:pt idx="201">
                  <c:v>0.42245101488487496</c:v>
                </c:pt>
                <c:pt idx="202">
                  <c:v>0.42245101488487496</c:v>
                </c:pt>
                <c:pt idx="203">
                  <c:v>0.42245101488487496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7-48E9-A9AF-E2A6BF944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482304"/>
        <c:axId val="774473984"/>
      </c:scatterChart>
      <c:valAx>
        <c:axId val="7744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73984"/>
        <c:crosses val="autoZero"/>
        <c:crossBetween val="midCat"/>
      </c:valAx>
      <c:valAx>
        <c:axId val="77447398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Survival</a:t>
                </a:r>
                <a:r>
                  <a:rPr lang="en-US" baseline="0"/>
                  <a:t> Probability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8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142876</xdr:colOff>
      <xdr:row>3</xdr:row>
      <xdr:rowOff>85726</xdr:rowOff>
    </xdr:from>
    <xdr:to>
      <xdr:col>32</xdr:col>
      <xdr:colOff>9526</xdr:colOff>
      <xdr:row>21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OAD_DEALTH_COR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AD_CONTACT_COR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0"/>
  <sheetViews>
    <sheetView tabSelected="1" topLeftCell="S1" workbookViewId="0">
      <selection activeCell="AG21" sqref="AG21"/>
    </sheetView>
  </sheetViews>
  <sheetFormatPr defaultRowHeight="15" x14ac:dyDescent="0.25"/>
  <cols>
    <col min="1" max="1" width="15.140625" bestFit="1" customWidth="1"/>
    <col min="2" max="2" width="15.85546875" bestFit="1" customWidth="1"/>
    <col min="3" max="3" width="5" bestFit="1" customWidth="1"/>
    <col min="5" max="5" width="6.85546875" bestFit="1" customWidth="1"/>
    <col min="6" max="6" width="8" bestFit="1" customWidth="1"/>
    <col min="7" max="7" width="6.85546875" bestFit="1" customWidth="1"/>
    <col min="8" max="8" width="6.28515625" bestFit="1" customWidth="1"/>
    <col min="10" max="10" width="5.42578125" bestFit="1" customWidth="1"/>
    <col min="11" max="11" width="8.5703125" bestFit="1" customWidth="1"/>
    <col min="12" max="12" width="10.140625" customWidth="1"/>
    <col min="13" max="13" width="6.28515625" bestFit="1" customWidth="1"/>
    <col min="15" max="15" width="5.42578125" bestFit="1" customWidth="1"/>
    <col min="16" max="16" width="8.5703125" bestFit="1" customWidth="1"/>
    <col min="17" max="17" width="10.42578125" customWidth="1"/>
    <col min="18" max="18" width="13.42578125" bestFit="1" customWidth="1"/>
    <col min="19" max="19" width="18.140625" bestFit="1" customWidth="1"/>
    <col min="20" max="20" width="18.28515625" bestFit="1" customWidth="1"/>
    <col min="21" max="21" width="15.42578125" bestFit="1" customWidth="1"/>
    <col min="22" max="22" width="15.5703125" customWidth="1"/>
    <col min="23" max="23" width="17.7109375" customWidth="1"/>
  </cols>
  <sheetData>
    <row r="1" spans="1:23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H1" s="2" t="s">
        <v>364</v>
      </c>
      <c r="I1" s="2"/>
      <c r="J1" s="2"/>
      <c r="K1" s="2"/>
      <c r="L1" s="2"/>
      <c r="M1" s="2" t="s">
        <v>365</v>
      </c>
      <c r="N1" s="2"/>
      <c r="O1" s="2"/>
      <c r="P1" s="2"/>
      <c r="Q1" s="2"/>
      <c r="V1" t="s">
        <v>364</v>
      </c>
      <c r="W1" t="s">
        <v>365</v>
      </c>
    </row>
    <row r="2" spans="1:23" x14ac:dyDescent="0.25">
      <c r="A2" t="s">
        <v>17</v>
      </c>
      <c r="B2">
        <v>92.227999999999994</v>
      </c>
      <c r="C2">
        <v>29</v>
      </c>
      <c r="D2" t="s">
        <v>353</v>
      </c>
      <c r="E2">
        <f>INT((C2-1)/30)+1</f>
        <v>1</v>
      </c>
      <c r="F2">
        <f>MEDIAN(B2:B380)</f>
        <v>30.4283</v>
      </c>
      <c r="G2" t="s">
        <v>362</v>
      </c>
      <c r="H2" t="s">
        <v>366</v>
      </c>
      <c r="I2" t="s">
        <v>354</v>
      </c>
      <c r="J2" t="s">
        <v>353</v>
      </c>
      <c r="K2" t="s">
        <v>363</v>
      </c>
      <c r="L2" t="s">
        <v>375</v>
      </c>
      <c r="M2" t="s">
        <v>366</v>
      </c>
      <c r="N2" t="s">
        <v>354</v>
      </c>
      <c r="O2" t="s">
        <v>353</v>
      </c>
      <c r="P2" t="s">
        <v>363</v>
      </c>
      <c r="Q2" t="s">
        <v>375</v>
      </c>
      <c r="R2" t="s">
        <v>369</v>
      </c>
      <c r="S2" s="1" t="s">
        <v>370</v>
      </c>
      <c r="T2" s="1" t="s">
        <v>371</v>
      </c>
      <c r="U2" s="1" t="s">
        <v>367</v>
      </c>
      <c r="V2">
        <f>SUM(J3:J105)</f>
        <v>23</v>
      </c>
      <c r="W2">
        <f>SUM(O3:O105)</f>
        <v>31</v>
      </c>
    </row>
    <row r="3" spans="1:23" x14ac:dyDescent="0.25">
      <c r="A3" t="s">
        <v>9</v>
      </c>
      <c r="B3">
        <v>52.728700000000003</v>
      </c>
      <c r="C3">
        <v>30</v>
      </c>
      <c r="D3" t="s">
        <v>353</v>
      </c>
      <c r="E3">
        <f t="shared" ref="E3:E66" si="0">INT((C3-1)/30)+1</f>
        <v>1</v>
      </c>
      <c r="F3" t="s">
        <v>361</v>
      </c>
      <c r="G3">
        <v>0</v>
      </c>
      <c r="H3">
        <f>COUNTIFS(B$2:B$380,"&lt;"&amp;$F$2,E$2:E$380,"&gt;="&amp;G3)-I3</f>
        <v>184</v>
      </c>
      <c r="I3">
        <f>COUNTIFS(B$2:B$380,"&lt;"&amp;F$2, D$2:D$380,"censored",E$2:E$380, G3)</f>
        <v>5</v>
      </c>
      <c r="J3">
        <f>COUNTIFS(B$2:B$380,"&lt;"&amp;F$2,D$2:D$380,"dead",E$2:E$380,G3)</f>
        <v>0</v>
      </c>
      <c r="K3">
        <f>H3-J3</f>
        <v>184</v>
      </c>
      <c r="L3">
        <f>K3/H3</f>
        <v>1</v>
      </c>
      <c r="M3">
        <f>COUNTIFS(B$2:B$380,"&gt;"&amp;$F$2,E$2:E$380,"&gt;="&amp;G3)-N3</f>
        <v>188</v>
      </c>
      <c r="N3">
        <f>COUNTIFS(B$2:B$380,"&gt;"&amp;F$2, D$2:D$380,"censored",E$2:E$380,G3)</f>
        <v>1</v>
      </c>
      <c r="O3">
        <f>COUNTIFS(B$2:B$380,"&gt;"&amp;F$2,D$2:D$380,"dead",E$2:E$380, G3)</f>
        <v>0</v>
      </c>
      <c r="P3">
        <f>M3-O3</f>
        <v>188</v>
      </c>
      <c r="Q3">
        <f>P3/M3</f>
        <v>1</v>
      </c>
      <c r="R3">
        <f t="shared" ref="R3:R34" si="1">SUM(J3,O3)/SUM(H3, M3)</f>
        <v>0</v>
      </c>
      <c r="S3">
        <f t="shared" ref="S3:S34" si="2">H3 * R3</f>
        <v>0</v>
      </c>
      <c r="T3">
        <f>M3 * R3</f>
        <v>0</v>
      </c>
      <c r="U3" t="s">
        <v>368</v>
      </c>
      <c r="V3">
        <f>SUM(S3:S105)</f>
        <v>31.754304706244373</v>
      </c>
      <c r="W3">
        <f>SUM(T3:T105)</f>
        <v>22.245695293755627</v>
      </c>
    </row>
    <row r="4" spans="1:23" x14ac:dyDescent="0.25">
      <c r="A4" t="s">
        <v>18</v>
      </c>
      <c r="B4">
        <v>136.9966</v>
      </c>
      <c r="C4">
        <v>43</v>
      </c>
      <c r="D4" t="s">
        <v>353</v>
      </c>
      <c r="E4">
        <f t="shared" si="0"/>
        <v>2</v>
      </c>
      <c r="F4">
        <f>MAX(E2:E55)</f>
        <v>102</v>
      </c>
      <c r="G4">
        <v>1</v>
      </c>
      <c r="H4">
        <f>COUNTIFS(B$2:B$380,"&lt;"&amp;$F$2,E$2:E$380,"&gt;="&amp;G4)-I4</f>
        <v>157</v>
      </c>
      <c r="I4">
        <f t="shared" ref="I4:I67" si="3">COUNTIFS(B$2:B$380,"&lt;"&amp;F$2, D$2:D$380,"censored",E$2:E$380, G4)</f>
        <v>27</v>
      </c>
      <c r="J4">
        <f t="shared" ref="J4:J67" si="4">COUNTIFS(B$2:B$380,"&lt;"&amp;F$2,D$2:D$380,"=dead",E$2:E$380,"="&amp;G4)</f>
        <v>0</v>
      </c>
      <c r="K4">
        <f t="shared" ref="K4:K67" si="5">H4-J4</f>
        <v>157</v>
      </c>
      <c r="L4">
        <f>L3 * K4 / H4</f>
        <v>1</v>
      </c>
      <c r="M4">
        <f t="shared" ref="M4:M67" si="6">COUNTIFS(B$2:B$380,"&gt;"&amp;$F$2,E$2:E$380,"&gt;="&amp;G4)-N4</f>
        <v>160</v>
      </c>
      <c r="N4">
        <f t="shared" ref="N4:N67" si="7">COUNTIFS(B$2:B$380,"&gt;"&amp;F$2, D$2:D$380,"censored",E$2:E$380,G4)</f>
        <v>28</v>
      </c>
      <c r="O4">
        <f t="shared" ref="O4:O67" si="8">COUNTIFS(B$2:B$380,"&gt;"&amp;F$2,D$2:D$380,"dead",E$2:E$380, G4)</f>
        <v>2</v>
      </c>
      <c r="P4">
        <f t="shared" ref="P4:P67" si="9">M4-O4</f>
        <v>158</v>
      </c>
      <c r="Q4">
        <f>Q3 * P4 / M4</f>
        <v>0.98750000000000004</v>
      </c>
      <c r="R4">
        <f t="shared" si="1"/>
        <v>6.3091482649842269E-3</v>
      </c>
      <c r="S4">
        <f t="shared" si="2"/>
        <v>0.99053627760252361</v>
      </c>
      <c r="T4">
        <f t="shared" ref="T4:T67" si="10">M4 * R4</f>
        <v>1.0094637223974763</v>
      </c>
    </row>
    <row r="5" spans="1:23" x14ac:dyDescent="0.25">
      <c r="A5" t="s">
        <v>0</v>
      </c>
      <c r="B5">
        <v>14.629899999999999</v>
      </c>
      <c r="C5">
        <v>49</v>
      </c>
      <c r="D5" t="s">
        <v>353</v>
      </c>
      <c r="E5">
        <f t="shared" si="0"/>
        <v>2</v>
      </c>
      <c r="F5" t="s">
        <v>376</v>
      </c>
      <c r="G5">
        <v>2</v>
      </c>
      <c r="H5">
        <f t="shared" ref="H5:H68" si="11">COUNTIFS(B$2:B$380,"&lt;"&amp;$F$2,E$2:E$380,"&gt;="&amp;G5)-I5</f>
        <v>138</v>
      </c>
      <c r="I5">
        <f t="shared" si="3"/>
        <v>19</v>
      </c>
      <c r="J5">
        <f t="shared" si="4"/>
        <v>2</v>
      </c>
      <c r="K5">
        <f t="shared" si="5"/>
        <v>136</v>
      </c>
      <c r="L5">
        <f t="shared" ref="L5:L68" si="12">L4 * K5 / H5</f>
        <v>0.98550724637681164</v>
      </c>
      <c r="M5">
        <f t="shared" si="6"/>
        <v>122</v>
      </c>
      <c r="N5">
        <f t="shared" si="7"/>
        <v>36</v>
      </c>
      <c r="O5">
        <f t="shared" si="8"/>
        <v>1</v>
      </c>
      <c r="P5">
        <f t="shared" si="9"/>
        <v>121</v>
      </c>
      <c r="Q5">
        <f t="shared" ref="Q5:Q68" si="13">Q4 * P5 / M5</f>
        <v>0.97940573770491812</v>
      </c>
      <c r="R5">
        <f t="shared" si="1"/>
        <v>1.1538461538461539E-2</v>
      </c>
      <c r="S5">
        <f t="shared" si="2"/>
        <v>1.5923076923076924</v>
      </c>
      <c r="T5">
        <f t="shared" si="10"/>
        <v>1.4076923076923078</v>
      </c>
      <c r="U5" t="s">
        <v>372</v>
      </c>
      <c r="V5">
        <f>CHITEST(V2:W2, V3:W3)</f>
        <v>1.5501755989489302E-2</v>
      </c>
    </row>
    <row r="6" spans="1:23" x14ac:dyDescent="0.25">
      <c r="A6" t="s">
        <v>31</v>
      </c>
      <c r="B6">
        <v>19.591799999999999</v>
      </c>
      <c r="C6">
        <v>59</v>
      </c>
      <c r="D6" t="s">
        <v>353</v>
      </c>
      <c r="E6">
        <f t="shared" si="0"/>
        <v>2</v>
      </c>
      <c r="F6">
        <f>_xlfn.MAXIFS(E2:E380,D2:D380, "dead")</f>
        <v>102</v>
      </c>
      <c r="G6">
        <v>3</v>
      </c>
      <c r="H6">
        <f t="shared" si="11"/>
        <v>131</v>
      </c>
      <c r="I6">
        <f t="shared" si="3"/>
        <v>5</v>
      </c>
      <c r="J6">
        <f t="shared" si="4"/>
        <v>1</v>
      </c>
      <c r="K6">
        <f t="shared" si="5"/>
        <v>130</v>
      </c>
      <c r="L6">
        <f t="shared" si="12"/>
        <v>0.97798429029759926</v>
      </c>
      <c r="M6">
        <f t="shared" si="6"/>
        <v>117</v>
      </c>
      <c r="N6">
        <f t="shared" si="7"/>
        <v>4</v>
      </c>
      <c r="O6">
        <f t="shared" si="8"/>
        <v>3</v>
      </c>
      <c r="P6">
        <f t="shared" si="9"/>
        <v>114</v>
      </c>
      <c r="Q6">
        <f t="shared" si="13"/>
        <v>0.95429277007145874</v>
      </c>
      <c r="R6">
        <f t="shared" si="1"/>
        <v>1.6129032258064516E-2</v>
      </c>
      <c r="S6">
        <f t="shared" si="2"/>
        <v>2.1129032258064515</v>
      </c>
      <c r="T6">
        <f t="shared" si="10"/>
        <v>1.8870967741935483</v>
      </c>
    </row>
    <row r="7" spans="1:23" x14ac:dyDescent="0.25">
      <c r="A7" t="s">
        <v>13</v>
      </c>
      <c r="B7">
        <v>45.161299999999997</v>
      </c>
      <c r="C7">
        <v>61</v>
      </c>
      <c r="D7" t="s">
        <v>353</v>
      </c>
      <c r="E7">
        <f t="shared" si="0"/>
        <v>3</v>
      </c>
      <c r="G7">
        <v>4</v>
      </c>
      <c r="H7">
        <f t="shared" si="11"/>
        <v>125</v>
      </c>
      <c r="I7">
        <f t="shared" si="3"/>
        <v>5</v>
      </c>
      <c r="J7">
        <f t="shared" si="4"/>
        <v>0</v>
      </c>
      <c r="K7">
        <f t="shared" si="5"/>
        <v>125</v>
      </c>
      <c r="L7">
        <f t="shared" si="12"/>
        <v>0.97798429029759926</v>
      </c>
      <c r="M7">
        <f t="shared" si="6"/>
        <v>110</v>
      </c>
      <c r="N7">
        <f t="shared" si="7"/>
        <v>4</v>
      </c>
      <c r="O7">
        <f t="shared" si="8"/>
        <v>1</v>
      </c>
      <c r="P7">
        <f t="shared" si="9"/>
        <v>109</v>
      </c>
      <c r="Q7">
        <f t="shared" si="13"/>
        <v>0.9456173812526274</v>
      </c>
      <c r="R7">
        <f t="shared" si="1"/>
        <v>4.2553191489361703E-3</v>
      </c>
      <c r="S7">
        <f t="shared" si="2"/>
        <v>0.53191489361702127</v>
      </c>
      <c r="T7">
        <f t="shared" si="10"/>
        <v>0.46808510638297873</v>
      </c>
    </row>
    <row r="8" spans="1:23" x14ac:dyDescent="0.25">
      <c r="A8" t="s">
        <v>10</v>
      </c>
      <c r="B8">
        <v>96.740300000000005</v>
      </c>
      <c r="C8">
        <v>61</v>
      </c>
      <c r="D8" t="s">
        <v>353</v>
      </c>
      <c r="E8">
        <f t="shared" si="0"/>
        <v>3</v>
      </c>
      <c r="G8">
        <v>5</v>
      </c>
      <c r="H8">
        <f t="shared" si="11"/>
        <v>116</v>
      </c>
      <c r="I8">
        <f t="shared" si="3"/>
        <v>9</v>
      </c>
      <c r="J8">
        <f t="shared" si="4"/>
        <v>0</v>
      </c>
      <c r="K8">
        <f t="shared" si="5"/>
        <v>116</v>
      </c>
      <c r="L8">
        <f t="shared" si="12"/>
        <v>0.97798429029759926</v>
      </c>
      <c r="M8">
        <f t="shared" si="6"/>
        <v>103</v>
      </c>
      <c r="N8">
        <f t="shared" si="7"/>
        <v>6</v>
      </c>
      <c r="O8">
        <f t="shared" si="8"/>
        <v>1</v>
      </c>
      <c r="P8">
        <f t="shared" si="9"/>
        <v>102</v>
      </c>
      <c r="Q8">
        <f t="shared" si="13"/>
        <v>0.9364366299783301</v>
      </c>
      <c r="R8">
        <f t="shared" si="1"/>
        <v>4.5662100456621002E-3</v>
      </c>
      <c r="S8">
        <f t="shared" si="2"/>
        <v>0.52968036529680362</v>
      </c>
      <c r="T8">
        <f t="shared" si="10"/>
        <v>0.47031963470319632</v>
      </c>
      <c r="U8" t="s">
        <v>359</v>
      </c>
      <c r="V8" t="s">
        <v>373</v>
      </c>
      <c r="W8" t="s">
        <v>374</v>
      </c>
    </row>
    <row r="9" spans="1:23" x14ac:dyDescent="0.25">
      <c r="A9" t="s">
        <v>8</v>
      </c>
      <c r="B9">
        <v>313.74720000000002</v>
      </c>
      <c r="C9">
        <v>61</v>
      </c>
      <c r="D9" t="s">
        <v>353</v>
      </c>
      <c r="E9">
        <f t="shared" si="0"/>
        <v>3</v>
      </c>
      <c r="G9">
        <v>6</v>
      </c>
      <c r="H9">
        <f t="shared" si="11"/>
        <v>106</v>
      </c>
      <c r="I9">
        <f t="shared" si="3"/>
        <v>10</v>
      </c>
      <c r="J9">
        <f t="shared" si="4"/>
        <v>3</v>
      </c>
      <c r="K9">
        <f t="shared" si="5"/>
        <v>103</v>
      </c>
      <c r="L9">
        <f t="shared" si="12"/>
        <v>0.95030548962879935</v>
      </c>
      <c r="M9">
        <f t="shared" si="6"/>
        <v>94</v>
      </c>
      <c r="N9">
        <f t="shared" si="7"/>
        <v>8</v>
      </c>
      <c r="O9">
        <f t="shared" si="8"/>
        <v>5</v>
      </c>
      <c r="P9">
        <f t="shared" si="9"/>
        <v>89</v>
      </c>
      <c r="Q9">
        <f t="shared" si="13"/>
        <v>0.88662617093692953</v>
      </c>
      <c r="R9">
        <f t="shared" si="1"/>
        <v>0.04</v>
      </c>
      <c r="S9">
        <f t="shared" si="2"/>
        <v>4.24</v>
      </c>
      <c r="T9">
        <f t="shared" si="10"/>
        <v>3.7600000000000002</v>
      </c>
      <c r="U9">
        <v>0</v>
      </c>
      <c r="V9">
        <f>LOOKUP($U9, $G$3:$G$105, $L$3:$L$105)</f>
        <v>1</v>
      </c>
      <c r="W9">
        <f>LOOKUP($U9, $G$3:$G$105, $Q$3:$Q$105)</f>
        <v>1</v>
      </c>
    </row>
    <row r="10" spans="1:23" x14ac:dyDescent="0.25">
      <c r="A10" t="s">
        <v>12</v>
      </c>
      <c r="B10">
        <v>30.402699999999999</v>
      </c>
      <c r="C10">
        <v>90</v>
      </c>
      <c r="D10" t="s">
        <v>353</v>
      </c>
      <c r="E10">
        <f t="shared" si="0"/>
        <v>3</v>
      </c>
      <c r="G10">
        <v>7</v>
      </c>
      <c r="H10">
        <f t="shared" si="11"/>
        <v>99</v>
      </c>
      <c r="I10">
        <f t="shared" si="3"/>
        <v>4</v>
      </c>
      <c r="J10">
        <f t="shared" si="4"/>
        <v>1</v>
      </c>
      <c r="K10">
        <f t="shared" si="5"/>
        <v>98</v>
      </c>
      <c r="L10">
        <f t="shared" si="12"/>
        <v>0.94070644427901351</v>
      </c>
      <c r="M10">
        <f t="shared" si="6"/>
        <v>78</v>
      </c>
      <c r="N10">
        <f t="shared" si="7"/>
        <v>11</v>
      </c>
      <c r="O10">
        <f t="shared" si="8"/>
        <v>0</v>
      </c>
      <c r="P10">
        <f t="shared" si="9"/>
        <v>78</v>
      </c>
      <c r="Q10">
        <f t="shared" si="13"/>
        <v>0.88662617093692953</v>
      </c>
      <c r="R10">
        <f t="shared" si="1"/>
        <v>5.6497175141242938E-3</v>
      </c>
      <c r="S10">
        <f t="shared" si="2"/>
        <v>0.55932203389830504</v>
      </c>
      <c r="T10">
        <f t="shared" si="10"/>
        <v>0.44067796610169491</v>
      </c>
      <c r="U10">
        <v>1</v>
      </c>
      <c r="V10">
        <f>IF(U10&gt;U9, V9, LOOKUP(U10, $G$3:$G$105, $L$3:$L$105))</f>
        <v>1</v>
      </c>
      <c r="W10">
        <f>IF(U10&gt;U9, W9, LOOKUP(U10, $G$3:$G$105, $Q$3:$Q$105))</f>
        <v>1</v>
      </c>
    </row>
    <row r="11" spans="1:23" x14ac:dyDescent="0.25">
      <c r="A11" t="s">
        <v>30</v>
      </c>
      <c r="B11">
        <v>297.3426</v>
      </c>
      <c r="C11">
        <v>97</v>
      </c>
      <c r="D11" t="s">
        <v>353</v>
      </c>
      <c r="E11">
        <f t="shared" si="0"/>
        <v>4</v>
      </c>
      <c r="G11">
        <v>8</v>
      </c>
      <c r="H11">
        <f t="shared" si="11"/>
        <v>93</v>
      </c>
      <c r="I11">
        <f t="shared" si="3"/>
        <v>5</v>
      </c>
      <c r="J11">
        <f t="shared" si="4"/>
        <v>1</v>
      </c>
      <c r="K11">
        <f t="shared" si="5"/>
        <v>92</v>
      </c>
      <c r="L11">
        <f t="shared" si="12"/>
        <v>0.93059132122224997</v>
      </c>
      <c r="M11">
        <f t="shared" si="6"/>
        <v>72</v>
      </c>
      <c r="N11">
        <f t="shared" si="7"/>
        <v>6</v>
      </c>
      <c r="O11">
        <f t="shared" si="8"/>
        <v>1</v>
      </c>
      <c r="P11">
        <f t="shared" si="9"/>
        <v>71</v>
      </c>
      <c r="Q11">
        <f t="shared" si="13"/>
        <v>0.87431191856280543</v>
      </c>
      <c r="R11">
        <f t="shared" si="1"/>
        <v>1.2121212121212121E-2</v>
      </c>
      <c r="S11">
        <f t="shared" si="2"/>
        <v>1.1272727272727272</v>
      </c>
      <c r="T11">
        <f t="shared" si="10"/>
        <v>0.87272727272727268</v>
      </c>
      <c r="U11">
        <f>IF(U10&gt;U9, U10, U10+1)</f>
        <v>1</v>
      </c>
      <c r="V11">
        <f t="shared" ref="V11:V74" si="14">IF(U11&gt;U10, V10, LOOKUP(U11, $G$3:$G$105, $L$3:$L$105))</f>
        <v>1</v>
      </c>
      <c r="W11">
        <f t="shared" ref="W11:W74" si="15">IF(U11&gt;U10, W10, LOOKUP(U11, $G$3:$G$105, $Q$3:$Q$105))</f>
        <v>0.98750000000000004</v>
      </c>
    </row>
    <row r="12" spans="1:23" x14ac:dyDescent="0.25">
      <c r="A12" t="s">
        <v>11</v>
      </c>
      <c r="B12">
        <v>143.56440000000001</v>
      </c>
      <c r="C12">
        <v>122</v>
      </c>
      <c r="D12" t="s">
        <v>353</v>
      </c>
      <c r="E12">
        <f t="shared" si="0"/>
        <v>5</v>
      </c>
      <c r="G12">
        <v>9</v>
      </c>
      <c r="H12">
        <f t="shared" si="11"/>
        <v>82</v>
      </c>
      <c r="I12">
        <f t="shared" si="3"/>
        <v>10</v>
      </c>
      <c r="J12">
        <f t="shared" si="4"/>
        <v>0</v>
      </c>
      <c r="K12">
        <f t="shared" si="5"/>
        <v>82</v>
      </c>
      <c r="L12">
        <f t="shared" si="12"/>
        <v>0.93059132122224997</v>
      </c>
      <c r="M12">
        <f t="shared" si="6"/>
        <v>68</v>
      </c>
      <c r="N12">
        <f t="shared" si="7"/>
        <v>3</v>
      </c>
      <c r="O12">
        <f t="shared" si="8"/>
        <v>0</v>
      </c>
      <c r="P12">
        <f t="shared" si="9"/>
        <v>68</v>
      </c>
      <c r="Q12">
        <f t="shared" si="13"/>
        <v>0.87431191856280543</v>
      </c>
      <c r="R12">
        <f t="shared" si="1"/>
        <v>0</v>
      </c>
      <c r="S12">
        <f t="shared" si="2"/>
        <v>0</v>
      </c>
      <c r="T12">
        <f t="shared" si="10"/>
        <v>0</v>
      </c>
      <c r="U12">
        <f t="shared" ref="U12:U75" si="16">IF(U11&gt;U10, U11, U11+1)</f>
        <v>2</v>
      </c>
      <c r="V12">
        <f t="shared" si="14"/>
        <v>1</v>
      </c>
      <c r="W12">
        <f t="shared" si="15"/>
        <v>0.98750000000000004</v>
      </c>
    </row>
    <row r="13" spans="1:23" x14ac:dyDescent="0.25">
      <c r="A13" t="s">
        <v>14</v>
      </c>
      <c r="B13">
        <v>24.4405</v>
      </c>
      <c r="C13">
        <v>153</v>
      </c>
      <c r="D13" t="s">
        <v>353</v>
      </c>
      <c r="E13">
        <f t="shared" si="0"/>
        <v>6</v>
      </c>
      <c r="G13">
        <v>10</v>
      </c>
      <c r="H13">
        <f t="shared" si="11"/>
        <v>80</v>
      </c>
      <c r="I13">
        <f t="shared" si="3"/>
        <v>2</v>
      </c>
      <c r="J13">
        <f t="shared" si="4"/>
        <v>0</v>
      </c>
      <c r="K13">
        <f t="shared" si="5"/>
        <v>80</v>
      </c>
      <c r="L13">
        <f t="shared" si="12"/>
        <v>0.93059132122224997</v>
      </c>
      <c r="M13">
        <f t="shared" si="6"/>
        <v>63</v>
      </c>
      <c r="N13">
        <f t="shared" si="7"/>
        <v>5</v>
      </c>
      <c r="O13">
        <f t="shared" si="8"/>
        <v>1</v>
      </c>
      <c r="P13">
        <f t="shared" si="9"/>
        <v>62</v>
      </c>
      <c r="Q13">
        <f t="shared" si="13"/>
        <v>0.86043395160149105</v>
      </c>
      <c r="R13">
        <f t="shared" si="1"/>
        <v>6.993006993006993E-3</v>
      </c>
      <c r="S13">
        <f t="shared" si="2"/>
        <v>0.55944055944055948</v>
      </c>
      <c r="T13">
        <f t="shared" si="10"/>
        <v>0.44055944055944057</v>
      </c>
      <c r="U13">
        <f t="shared" si="16"/>
        <v>2</v>
      </c>
      <c r="V13">
        <f t="shared" si="14"/>
        <v>0.98550724637681164</v>
      </c>
      <c r="W13">
        <f t="shared" si="15"/>
        <v>0.97940573770491812</v>
      </c>
    </row>
    <row r="14" spans="1:23" x14ac:dyDescent="0.25">
      <c r="A14" t="s">
        <v>7</v>
      </c>
      <c r="B14">
        <v>27.3504</v>
      </c>
      <c r="C14">
        <v>153</v>
      </c>
      <c r="D14" t="s">
        <v>353</v>
      </c>
      <c r="E14">
        <f t="shared" si="0"/>
        <v>6</v>
      </c>
      <c r="G14">
        <v>11</v>
      </c>
      <c r="H14">
        <f t="shared" si="11"/>
        <v>77</v>
      </c>
      <c r="I14">
        <f t="shared" si="3"/>
        <v>3</v>
      </c>
      <c r="J14">
        <f t="shared" si="4"/>
        <v>0</v>
      </c>
      <c r="K14">
        <f t="shared" si="5"/>
        <v>77</v>
      </c>
      <c r="L14">
        <f t="shared" si="12"/>
        <v>0.93059132122225008</v>
      </c>
      <c r="M14">
        <f t="shared" si="6"/>
        <v>58</v>
      </c>
      <c r="N14">
        <f t="shared" si="7"/>
        <v>4</v>
      </c>
      <c r="O14">
        <f t="shared" si="8"/>
        <v>0</v>
      </c>
      <c r="P14">
        <f t="shared" si="9"/>
        <v>58</v>
      </c>
      <c r="Q14">
        <f t="shared" si="13"/>
        <v>0.86043395160149105</v>
      </c>
      <c r="R14">
        <f t="shared" si="1"/>
        <v>0</v>
      </c>
      <c r="S14">
        <f t="shared" si="2"/>
        <v>0</v>
      </c>
      <c r="T14">
        <f t="shared" si="10"/>
        <v>0</v>
      </c>
      <c r="U14">
        <f t="shared" si="16"/>
        <v>3</v>
      </c>
      <c r="V14">
        <f t="shared" si="14"/>
        <v>0.98550724637681164</v>
      </c>
      <c r="W14">
        <f t="shared" si="15"/>
        <v>0.97940573770491812</v>
      </c>
    </row>
    <row r="15" spans="1:23" x14ac:dyDescent="0.25">
      <c r="A15" t="s">
        <v>33</v>
      </c>
      <c r="B15">
        <v>73.202600000000004</v>
      </c>
      <c r="C15">
        <v>153</v>
      </c>
      <c r="D15" t="s">
        <v>353</v>
      </c>
      <c r="E15">
        <f t="shared" si="0"/>
        <v>6</v>
      </c>
      <c r="G15">
        <v>12</v>
      </c>
      <c r="H15">
        <f t="shared" si="11"/>
        <v>74</v>
      </c>
      <c r="I15">
        <f t="shared" si="3"/>
        <v>3</v>
      </c>
      <c r="J15">
        <f t="shared" si="4"/>
        <v>1</v>
      </c>
      <c r="K15">
        <f t="shared" si="5"/>
        <v>73</v>
      </c>
      <c r="L15">
        <f t="shared" si="12"/>
        <v>0.91801576282735486</v>
      </c>
      <c r="M15">
        <f t="shared" si="6"/>
        <v>57</v>
      </c>
      <c r="N15">
        <f t="shared" si="7"/>
        <v>1</v>
      </c>
      <c r="O15">
        <f t="shared" si="8"/>
        <v>1</v>
      </c>
      <c r="P15">
        <f t="shared" si="9"/>
        <v>56</v>
      </c>
      <c r="Q15">
        <f t="shared" si="13"/>
        <v>0.84533861911725428</v>
      </c>
      <c r="R15">
        <f t="shared" si="1"/>
        <v>1.5267175572519083E-2</v>
      </c>
      <c r="S15">
        <f t="shared" si="2"/>
        <v>1.1297709923664121</v>
      </c>
      <c r="T15">
        <f t="shared" si="10"/>
        <v>0.87022900763358779</v>
      </c>
      <c r="U15">
        <f t="shared" si="16"/>
        <v>3</v>
      </c>
      <c r="V15">
        <f t="shared" si="14"/>
        <v>0.97798429029759926</v>
      </c>
      <c r="W15">
        <f t="shared" si="15"/>
        <v>0.95429277007145874</v>
      </c>
    </row>
    <row r="16" spans="1:23" x14ac:dyDescent="0.25">
      <c r="A16" t="s">
        <v>20</v>
      </c>
      <c r="B16">
        <v>216.7414</v>
      </c>
      <c r="C16">
        <v>156</v>
      </c>
      <c r="D16" t="s">
        <v>353</v>
      </c>
      <c r="E16">
        <f t="shared" si="0"/>
        <v>6</v>
      </c>
      <c r="G16">
        <v>13</v>
      </c>
      <c r="H16">
        <f t="shared" si="11"/>
        <v>72</v>
      </c>
      <c r="I16">
        <f t="shared" si="3"/>
        <v>1</v>
      </c>
      <c r="J16">
        <f t="shared" si="4"/>
        <v>0</v>
      </c>
      <c r="K16">
        <f t="shared" si="5"/>
        <v>72</v>
      </c>
      <c r="L16">
        <f t="shared" si="12"/>
        <v>0.91801576282735498</v>
      </c>
      <c r="M16">
        <f t="shared" si="6"/>
        <v>52</v>
      </c>
      <c r="N16">
        <f t="shared" si="7"/>
        <v>4</v>
      </c>
      <c r="O16">
        <f t="shared" si="8"/>
        <v>2</v>
      </c>
      <c r="P16">
        <f t="shared" si="9"/>
        <v>50</v>
      </c>
      <c r="Q16">
        <f t="shared" si="13"/>
        <v>0.81282559530505216</v>
      </c>
      <c r="R16">
        <f t="shared" si="1"/>
        <v>1.6129032258064516E-2</v>
      </c>
      <c r="S16">
        <f t="shared" si="2"/>
        <v>1.161290322580645</v>
      </c>
      <c r="T16">
        <f t="shared" si="10"/>
        <v>0.83870967741935476</v>
      </c>
      <c r="U16">
        <f t="shared" si="16"/>
        <v>4</v>
      </c>
      <c r="V16">
        <f t="shared" si="14"/>
        <v>0.97798429029759926</v>
      </c>
      <c r="W16">
        <f t="shared" si="15"/>
        <v>0.95429277007145874</v>
      </c>
    </row>
    <row r="17" spans="1:23" x14ac:dyDescent="0.25">
      <c r="A17" t="s">
        <v>28</v>
      </c>
      <c r="B17">
        <v>76.279499999999999</v>
      </c>
      <c r="C17">
        <v>159</v>
      </c>
      <c r="D17" t="s">
        <v>353</v>
      </c>
      <c r="E17">
        <f t="shared" si="0"/>
        <v>6</v>
      </c>
      <c r="G17">
        <v>14</v>
      </c>
      <c r="H17">
        <f t="shared" si="11"/>
        <v>71</v>
      </c>
      <c r="I17">
        <f t="shared" si="3"/>
        <v>1</v>
      </c>
      <c r="J17">
        <f t="shared" si="4"/>
        <v>0</v>
      </c>
      <c r="K17">
        <f t="shared" si="5"/>
        <v>71</v>
      </c>
      <c r="L17">
        <f t="shared" si="12"/>
        <v>0.91801576282735498</v>
      </c>
      <c r="M17">
        <f t="shared" si="6"/>
        <v>49</v>
      </c>
      <c r="N17">
        <f t="shared" si="7"/>
        <v>1</v>
      </c>
      <c r="O17">
        <f t="shared" si="8"/>
        <v>0</v>
      </c>
      <c r="P17">
        <f t="shared" si="9"/>
        <v>49</v>
      </c>
      <c r="Q17">
        <f t="shared" si="13"/>
        <v>0.81282559530505216</v>
      </c>
      <c r="R17">
        <f t="shared" si="1"/>
        <v>0</v>
      </c>
      <c r="S17">
        <f t="shared" si="2"/>
        <v>0</v>
      </c>
      <c r="T17">
        <f t="shared" si="10"/>
        <v>0</v>
      </c>
      <c r="U17">
        <f t="shared" si="16"/>
        <v>4</v>
      </c>
      <c r="V17">
        <f t="shared" si="14"/>
        <v>0.97798429029759926</v>
      </c>
      <c r="W17">
        <f t="shared" si="15"/>
        <v>0.9456173812526274</v>
      </c>
    </row>
    <row r="18" spans="1:23" x14ac:dyDescent="0.25">
      <c r="A18" t="s">
        <v>19</v>
      </c>
      <c r="B18">
        <v>51.470599999999997</v>
      </c>
      <c r="C18">
        <v>172</v>
      </c>
      <c r="D18" t="s">
        <v>353</v>
      </c>
      <c r="E18">
        <f t="shared" si="0"/>
        <v>6</v>
      </c>
      <c r="G18">
        <v>15</v>
      </c>
      <c r="H18">
        <f t="shared" si="11"/>
        <v>67</v>
      </c>
      <c r="I18">
        <f t="shared" si="3"/>
        <v>4</v>
      </c>
      <c r="J18">
        <f t="shared" si="4"/>
        <v>1</v>
      </c>
      <c r="K18">
        <f t="shared" si="5"/>
        <v>66</v>
      </c>
      <c r="L18">
        <f t="shared" si="12"/>
        <v>0.90431403502396168</v>
      </c>
      <c r="M18">
        <f t="shared" si="6"/>
        <v>46</v>
      </c>
      <c r="N18">
        <f t="shared" si="7"/>
        <v>3</v>
      </c>
      <c r="O18">
        <f t="shared" si="8"/>
        <v>3</v>
      </c>
      <c r="P18">
        <f t="shared" si="9"/>
        <v>43</v>
      </c>
      <c r="Q18">
        <f t="shared" si="13"/>
        <v>0.75981523039385312</v>
      </c>
      <c r="R18">
        <f t="shared" si="1"/>
        <v>3.5398230088495575E-2</v>
      </c>
      <c r="S18">
        <f t="shared" si="2"/>
        <v>2.3716814159292037</v>
      </c>
      <c r="T18">
        <f t="shared" si="10"/>
        <v>1.6283185840707963</v>
      </c>
      <c r="U18">
        <f t="shared" si="16"/>
        <v>5</v>
      </c>
      <c r="V18">
        <f t="shared" si="14"/>
        <v>0.97798429029759926</v>
      </c>
      <c r="W18">
        <f t="shared" si="15"/>
        <v>0.9456173812526274</v>
      </c>
    </row>
    <row r="19" spans="1:23" x14ac:dyDescent="0.25">
      <c r="A19" t="s">
        <v>19</v>
      </c>
      <c r="B19">
        <v>53.421799999999998</v>
      </c>
      <c r="C19">
        <v>172</v>
      </c>
      <c r="D19" t="s">
        <v>353</v>
      </c>
      <c r="E19">
        <f t="shared" si="0"/>
        <v>6</v>
      </c>
      <c r="G19">
        <v>16</v>
      </c>
      <c r="H19">
        <f t="shared" si="11"/>
        <v>61</v>
      </c>
      <c r="I19">
        <f t="shared" si="3"/>
        <v>5</v>
      </c>
      <c r="J19">
        <f t="shared" si="4"/>
        <v>0</v>
      </c>
      <c r="K19">
        <f t="shared" si="5"/>
        <v>61</v>
      </c>
      <c r="L19">
        <f t="shared" si="12"/>
        <v>0.90431403502396168</v>
      </c>
      <c r="M19">
        <f t="shared" si="6"/>
        <v>42</v>
      </c>
      <c r="N19">
        <f t="shared" si="7"/>
        <v>1</v>
      </c>
      <c r="O19">
        <f t="shared" si="8"/>
        <v>0</v>
      </c>
      <c r="P19">
        <f t="shared" si="9"/>
        <v>42</v>
      </c>
      <c r="Q19">
        <f t="shared" si="13"/>
        <v>0.75981523039385312</v>
      </c>
      <c r="R19">
        <f t="shared" si="1"/>
        <v>0</v>
      </c>
      <c r="S19">
        <f t="shared" si="2"/>
        <v>0</v>
      </c>
      <c r="T19">
        <f t="shared" si="10"/>
        <v>0</v>
      </c>
      <c r="U19">
        <f t="shared" si="16"/>
        <v>5</v>
      </c>
      <c r="V19">
        <f t="shared" si="14"/>
        <v>0.97798429029759926</v>
      </c>
      <c r="W19">
        <f t="shared" si="15"/>
        <v>0.9364366299783301</v>
      </c>
    </row>
    <row r="20" spans="1:23" x14ac:dyDescent="0.25">
      <c r="A20" t="s">
        <v>42</v>
      </c>
      <c r="B20">
        <v>10.2125</v>
      </c>
      <c r="C20">
        <v>179</v>
      </c>
      <c r="D20" t="s">
        <v>353</v>
      </c>
      <c r="E20">
        <f t="shared" si="0"/>
        <v>6</v>
      </c>
      <c r="G20">
        <v>17</v>
      </c>
      <c r="H20">
        <f t="shared" si="11"/>
        <v>58</v>
      </c>
      <c r="I20">
        <f t="shared" si="3"/>
        <v>3</v>
      </c>
      <c r="J20">
        <f t="shared" si="4"/>
        <v>0</v>
      </c>
      <c r="K20">
        <f t="shared" si="5"/>
        <v>58</v>
      </c>
      <c r="L20">
        <f t="shared" si="12"/>
        <v>0.90431403502396168</v>
      </c>
      <c r="M20">
        <f t="shared" si="6"/>
        <v>40</v>
      </c>
      <c r="N20">
        <f t="shared" si="7"/>
        <v>2</v>
      </c>
      <c r="O20">
        <f t="shared" si="8"/>
        <v>2</v>
      </c>
      <c r="P20">
        <f t="shared" si="9"/>
        <v>38</v>
      </c>
      <c r="Q20">
        <f t="shared" si="13"/>
        <v>0.72182446887416041</v>
      </c>
      <c r="R20">
        <f t="shared" si="1"/>
        <v>2.0408163265306121E-2</v>
      </c>
      <c r="S20">
        <f t="shared" si="2"/>
        <v>1.1836734693877551</v>
      </c>
      <c r="T20">
        <f t="shared" si="10"/>
        <v>0.81632653061224481</v>
      </c>
      <c r="U20">
        <f t="shared" si="16"/>
        <v>6</v>
      </c>
      <c r="V20">
        <f t="shared" si="14"/>
        <v>0.97798429029759926</v>
      </c>
      <c r="W20">
        <f t="shared" si="15"/>
        <v>0.9364366299783301</v>
      </c>
    </row>
    <row r="21" spans="1:23" x14ac:dyDescent="0.25">
      <c r="A21" t="s">
        <v>24</v>
      </c>
      <c r="B21">
        <v>2.0379999999999998</v>
      </c>
      <c r="C21">
        <v>206</v>
      </c>
      <c r="D21" t="s">
        <v>353</v>
      </c>
      <c r="E21">
        <f t="shared" si="0"/>
        <v>7</v>
      </c>
      <c r="G21">
        <v>18</v>
      </c>
      <c r="H21">
        <f t="shared" si="11"/>
        <v>55</v>
      </c>
      <c r="I21">
        <f t="shared" si="3"/>
        <v>3</v>
      </c>
      <c r="J21">
        <f t="shared" si="4"/>
        <v>0</v>
      </c>
      <c r="K21">
        <f t="shared" si="5"/>
        <v>55</v>
      </c>
      <c r="L21">
        <f t="shared" si="12"/>
        <v>0.90431403502396168</v>
      </c>
      <c r="M21">
        <f t="shared" si="6"/>
        <v>36</v>
      </c>
      <c r="N21">
        <f t="shared" si="7"/>
        <v>2</v>
      </c>
      <c r="O21">
        <f t="shared" si="8"/>
        <v>0</v>
      </c>
      <c r="P21">
        <f t="shared" si="9"/>
        <v>36</v>
      </c>
      <c r="Q21">
        <f t="shared" si="13"/>
        <v>0.72182446887416041</v>
      </c>
      <c r="R21">
        <f t="shared" si="1"/>
        <v>0</v>
      </c>
      <c r="S21">
        <f t="shared" si="2"/>
        <v>0</v>
      </c>
      <c r="T21">
        <f t="shared" si="10"/>
        <v>0</v>
      </c>
      <c r="U21">
        <f t="shared" si="16"/>
        <v>6</v>
      </c>
      <c r="V21">
        <f t="shared" si="14"/>
        <v>0.95030548962879935</v>
      </c>
      <c r="W21">
        <f t="shared" si="15"/>
        <v>0.88662617093692953</v>
      </c>
    </row>
    <row r="22" spans="1:23" x14ac:dyDescent="0.25">
      <c r="A22" t="s">
        <v>39</v>
      </c>
      <c r="B22">
        <v>1.5908</v>
      </c>
      <c r="C22">
        <v>228</v>
      </c>
      <c r="D22" t="s">
        <v>353</v>
      </c>
      <c r="E22">
        <f t="shared" si="0"/>
        <v>8</v>
      </c>
      <c r="G22">
        <v>19</v>
      </c>
      <c r="H22">
        <f t="shared" si="11"/>
        <v>53</v>
      </c>
      <c r="I22">
        <f t="shared" si="3"/>
        <v>2</v>
      </c>
      <c r="J22">
        <f t="shared" si="4"/>
        <v>0</v>
      </c>
      <c r="K22">
        <f t="shared" si="5"/>
        <v>53</v>
      </c>
      <c r="L22">
        <f t="shared" si="12"/>
        <v>0.90431403502396168</v>
      </c>
      <c r="M22">
        <f t="shared" si="6"/>
        <v>35</v>
      </c>
      <c r="N22">
        <f t="shared" si="7"/>
        <v>1</v>
      </c>
      <c r="O22">
        <f t="shared" si="8"/>
        <v>0</v>
      </c>
      <c r="P22">
        <f t="shared" si="9"/>
        <v>35</v>
      </c>
      <c r="Q22">
        <f t="shared" si="13"/>
        <v>0.72182446887416041</v>
      </c>
      <c r="R22">
        <f t="shared" si="1"/>
        <v>0</v>
      </c>
      <c r="S22">
        <f t="shared" si="2"/>
        <v>0</v>
      </c>
      <c r="T22">
        <f t="shared" si="10"/>
        <v>0</v>
      </c>
      <c r="U22">
        <f t="shared" si="16"/>
        <v>7</v>
      </c>
      <c r="V22">
        <f t="shared" si="14"/>
        <v>0.95030548962879935</v>
      </c>
      <c r="W22">
        <f t="shared" si="15"/>
        <v>0.88662617093692953</v>
      </c>
    </row>
    <row r="23" spans="1:23" x14ac:dyDescent="0.25">
      <c r="A23" t="s">
        <v>41</v>
      </c>
      <c r="B23">
        <v>227.4855</v>
      </c>
      <c r="C23">
        <v>236</v>
      </c>
      <c r="D23" t="s">
        <v>353</v>
      </c>
      <c r="E23">
        <f t="shared" si="0"/>
        <v>8</v>
      </c>
      <c r="G23">
        <v>20</v>
      </c>
      <c r="H23">
        <f t="shared" si="11"/>
        <v>52</v>
      </c>
      <c r="I23">
        <f t="shared" si="3"/>
        <v>1</v>
      </c>
      <c r="J23">
        <f t="shared" si="4"/>
        <v>0</v>
      </c>
      <c r="K23">
        <f t="shared" si="5"/>
        <v>52</v>
      </c>
      <c r="L23">
        <f t="shared" si="12"/>
        <v>0.90431403502396168</v>
      </c>
      <c r="M23">
        <f t="shared" si="6"/>
        <v>34</v>
      </c>
      <c r="N23">
        <f t="shared" si="7"/>
        <v>1</v>
      </c>
      <c r="O23">
        <f t="shared" si="8"/>
        <v>0</v>
      </c>
      <c r="P23">
        <f t="shared" si="9"/>
        <v>34</v>
      </c>
      <c r="Q23">
        <f t="shared" si="13"/>
        <v>0.72182446887416041</v>
      </c>
      <c r="R23">
        <f t="shared" si="1"/>
        <v>0</v>
      </c>
      <c r="S23">
        <f t="shared" si="2"/>
        <v>0</v>
      </c>
      <c r="T23">
        <f t="shared" si="10"/>
        <v>0</v>
      </c>
      <c r="U23">
        <f t="shared" si="16"/>
        <v>7</v>
      </c>
      <c r="V23">
        <f t="shared" si="14"/>
        <v>0.94070644427901351</v>
      </c>
      <c r="W23">
        <f t="shared" si="15"/>
        <v>0.88662617093692953</v>
      </c>
    </row>
    <row r="24" spans="1:23" x14ac:dyDescent="0.25">
      <c r="A24" t="s">
        <v>1</v>
      </c>
      <c r="B24">
        <v>34.124299999999998</v>
      </c>
      <c r="C24">
        <v>290</v>
      </c>
      <c r="D24" t="s">
        <v>353</v>
      </c>
      <c r="E24">
        <f t="shared" si="0"/>
        <v>10</v>
      </c>
      <c r="G24">
        <v>21</v>
      </c>
      <c r="H24">
        <f t="shared" si="11"/>
        <v>52</v>
      </c>
      <c r="I24">
        <f t="shared" si="3"/>
        <v>0</v>
      </c>
      <c r="J24">
        <f t="shared" si="4"/>
        <v>0</v>
      </c>
      <c r="K24">
        <f t="shared" si="5"/>
        <v>52</v>
      </c>
      <c r="L24">
        <f t="shared" si="12"/>
        <v>0.90431403502396168</v>
      </c>
      <c r="M24">
        <f t="shared" si="6"/>
        <v>33</v>
      </c>
      <c r="N24">
        <f t="shared" si="7"/>
        <v>1</v>
      </c>
      <c r="O24">
        <f t="shared" si="8"/>
        <v>0</v>
      </c>
      <c r="P24">
        <f t="shared" si="9"/>
        <v>33</v>
      </c>
      <c r="Q24">
        <f t="shared" si="13"/>
        <v>0.72182446887416041</v>
      </c>
      <c r="R24">
        <f t="shared" si="1"/>
        <v>0</v>
      </c>
      <c r="S24">
        <f t="shared" si="2"/>
        <v>0</v>
      </c>
      <c r="T24">
        <f t="shared" si="10"/>
        <v>0</v>
      </c>
      <c r="U24">
        <f t="shared" si="16"/>
        <v>8</v>
      </c>
      <c r="V24">
        <f t="shared" si="14"/>
        <v>0.94070644427901351</v>
      </c>
      <c r="W24">
        <f t="shared" si="15"/>
        <v>0.88662617093692953</v>
      </c>
    </row>
    <row r="25" spans="1:23" x14ac:dyDescent="0.25">
      <c r="A25" t="s">
        <v>51</v>
      </c>
      <c r="B25">
        <v>5.1463000000000001</v>
      </c>
      <c r="C25">
        <v>334</v>
      </c>
      <c r="D25" t="s">
        <v>353</v>
      </c>
      <c r="E25">
        <f t="shared" si="0"/>
        <v>12</v>
      </c>
      <c r="G25">
        <v>22</v>
      </c>
      <c r="H25">
        <f t="shared" si="11"/>
        <v>51</v>
      </c>
      <c r="I25">
        <f t="shared" si="3"/>
        <v>1</v>
      </c>
      <c r="J25">
        <f t="shared" si="4"/>
        <v>1</v>
      </c>
      <c r="K25">
        <f t="shared" si="5"/>
        <v>50</v>
      </c>
      <c r="L25">
        <f t="shared" si="12"/>
        <v>0.88658238727839378</v>
      </c>
      <c r="M25">
        <f t="shared" si="6"/>
        <v>32</v>
      </c>
      <c r="N25">
        <f t="shared" si="7"/>
        <v>1</v>
      </c>
      <c r="O25">
        <f t="shared" si="8"/>
        <v>0</v>
      </c>
      <c r="P25">
        <f t="shared" si="9"/>
        <v>32</v>
      </c>
      <c r="Q25">
        <f t="shared" si="13"/>
        <v>0.72182446887416041</v>
      </c>
      <c r="R25">
        <f t="shared" si="1"/>
        <v>1.2048192771084338E-2</v>
      </c>
      <c r="S25">
        <f t="shared" si="2"/>
        <v>0.61445783132530118</v>
      </c>
      <c r="T25">
        <f t="shared" si="10"/>
        <v>0.38554216867469882</v>
      </c>
      <c r="U25">
        <f t="shared" si="16"/>
        <v>8</v>
      </c>
      <c r="V25">
        <f t="shared" si="14"/>
        <v>0.93059132122224997</v>
      </c>
      <c r="W25">
        <f t="shared" si="15"/>
        <v>0.87431191856280543</v>
      </c>
    </row>
    <row r="26" spans="1:23" x14ac:dyDescent="0.25">
      <c r="A26" t="s">
        <v>29</v>
      </c>
      <c r="B26">
        <v>46.5745</v>
      </c>
      <c r="C26">
        <v>357</v>
      </c>
      <c r="D26" t="s">
        <v>353</v>
      </c>
      <c r="E26">
        <f t="shared" si="0"/>
        <v>12</v>
      </c>
      <c r="G26">
        <v>23</v>
      </c>
      <c r="H26">
        <f t="shared" si="11"/>
        <v>49</v>
      </c>
      <c r="I26">
        <f t="shared" si="3"/>
        <v>1</v>
      </c>
      <c r="J26">
        <f t="shared" si="4"/>
        <v>1</v>
      </c>
      <c r="K26">
        <f t="shared" si="5"/>
        <v>48</v>
      </c>
      <c r="L26">
        <f t="shared" si="12"/>
        <v>0.86848886917067136</v>
      </c>
      <c r="M26">
        <f t="shared" si="6"/>
        <v>31</v>
      </c>
      <c r="N26">
        <f t="shared" si="7"/>
        <v>1</v>
      </c>
      <c r="O26">
        <f t="shared" si="8"/>
        <v>1</v>
      </c>
      <c r="P26">
        <f t="shared" si="9"/>
        <v>30</v>
      </c>
      <c r="Q26">
        <f t="shared" si="13"/>
        <v>0.6985398085878971</v>
      </c>
      <c r="R26">
        <f t="shared" si="1"/>
        <v>2.5000000000000001E-2</v>
      </c>
      <c r="S26">
        <f t="shared" si="2"/>
        <v>1.2250000000000001</v>
      </c>
      <c r="T26">
        <f t="shared" si="10"/>
        <v>0.77500000000000002</v>
      </c>
      <c r="U26">
        <f t="shared" si="16"/>
        <v>9</v>
      </c>
      <c r="V26">
        <f t="shared" si="14"/>
        <v>0.93059132122224997</v>
      </c>
      <c r="W26">
        <f t="shared" si="15"/>
        <v>0.87431191856280543</v>
      </c>
    </row>
    <row r="27" spans="1:23" x14ac:dyDescent="0.25">
      <c r="A27" t="s">
        <v>25</v>
      </c>
      <c r="B27">
        <v>85.702200000000005</v>
      </c>
      <c r="C27">
        <v>368</v>
      </c>
      <c r="D27" t="s">
        <v>353</v>
      </c>
      <c r="E27">
        <f t="shared" si="0"/>
        <v>13</v>
      </c>
      <c r="G27">
        <v>24</v>
      </c>
      <c r="H27">
        <f t="shared" si="11"/>
        <v>48</v>
      </c>
      <c r="I27">
        <f t="shared" si="3"/>
        <v>0</v>
      </c>
      <c r="J27">
        <f t="shared" si="4"/>
        <v>0</v>
      </c>
      <c r="K27">
        <f t="shared" si="5"/>
        <v>48</v>
      </c>
      <c r="L27">
        <f t="shared" si="12"/>
        <v>0.86848886917067125</v>
      </c>
      <c r="M27">
        <f t="shared" si="6"/>
        <v>29</v>
      </c>
      <c r="N27">
        <f t="shared" si="7"/>
        <v>1</v>
      </c>
      <c r="O27">
        <f t="shared" si="8"/>
        <v>1</v>
      </c>
      <c r="P27">
        <f t="shared" si="9"/>
        <v>28</v>
      </c>
      <c r="Q27">
        <f t="shared" si="13"/>
        <v>0.67445222898141788</v>
      </c>
      <c r="R27">
        <f t="shared" si="1"/>
        <v>1.2987012987012988E-2</v>
      </c>
      <c r="S27">
        <f t="shared" si="2"/>
        <v>0.62337662337662336</v>
      </c>
      <c r="T27">
        <f t="shared" si="10"/>
        <v>0.37662337662337664</v>
      </c>
      <c r="U27">
        <f t="shared" si="16"/>
        <v>9</v>
      </c>
      <c r="V27">
        <f t="shared" si="14"/>
        <v>0.93059132122224997</v>
      </c>
      <c r="W27">
        <f t="shared" si="15"/>
        <v>0.87431191856280543</v>
      </c>
    </row>
    <row r="28" spans="1:23" x14ac:dyDescent="0.25">
      <c r="A28" t="s">
        <v>38</v>
      </c>
      <c r="B28">
        <v>49.554000000000002</v>
      </c>
      <c r="C28">
        <v>383</v>
      </c>
      <c r="D28" t="s">
        <v>353</v>
      </c>
      <c r="E28">
        <f t="shared" si="0"/>
        <v>13</v>
      </c>
      <c r="G28">
        <v>25</v>
      </c>
      <c r="H28">
        <f t="shared" si="11"/>
        <v>48</v>
      </c>
      <c r="I28">
        <f t="shared" si="3"/>
        <v>0</v>
      </c>
      <c r="J28">
        <f t="shared" si="4"/>
        <v>0</v>
      </c>
      <c r="K28">
        <f t="shared" si="5"/>
        <v>48</v>
      </c>
      <c r="L28">
        <f t="shared" si="12"/>
        <v>0.86848886917067125</v>
      </c>
      <c r="M28">
        <f t="shared" si="6"/>
        <v>27</v>
      </c>
      <c r="N28">
        <f t="shared" si="7"/>
        <v>1</v>
      </c>
      <c r="O28">
        <f t="shared" si="8"/>
        <v>1</v>
      </c>
      <c r="P28">
        <f t="shared" si="9"/>
        <v>26</v>
      </c>
      <c r="Q28">
        <f t="shared" si="13"/>
        <v>0.64947251679692086</v>
      </c>
      <c r="R28">
        <f t="shared" si="1"/>
        <v>1.3333333333333334E-2</v>
      </c>
      <c r="S28">
        <f t="shared" si="2"/>
        <v>0.64</v>
      </c>
      <c r="T28">
        <f t="shared" si="10"/>
        <v>0.36000000000000004</v>
      </c>
      <c r="U28">
        <f t="shared" si="16"/>
        <v>10</v>
      </c>
      <c r="V28">
        <f t="shared" si="14"/>
        <v>0.93059132122224997</v>
      </c>
      <c r="W28">
        <f t="shared" si="15"/>
        <v>0.87431191856280543</v>
      </c>
    </row>
    <row r="29" spans="1:23" x14ac:dyDescent="0.25">
      <c r="A29" t="s">
        <v>2</v>
      </c>
      <c r="B29">
        <v>567.98249999999996</v>
      </c>
      <c r="C29">
        <v>424</v>
      </c>
      <c r="D29" t="s">
        <v>353</v>
      </c>
      <c r="E29">
        <f t="shared" si="0"/>
        <v>15</v>
      </c>
      <c r="G29">
        <v>26</v>
      </c>
      <c r="H29">
        <f t="shared" si="11"/>
        <v>48</v>
      </c>
      <c r="I29">
        <f t="shared" si="3"/>
        <v>0</v>
      </c>
      <c r="J29">
        <f t="shared" si="4"/>
        <v>0</v>
      </c>
      <c r="K29">
        <f t="shared" si="5"/>
        <v>48</v>
      </c>
      <c r="L29">
        <f t="shared" si="12"/>
        <v>0.86848886917067125</v>
      </c>
      <c r="M29">
        <f t="shared" si="6"/>
        <v>26</v>
      </c>
      <c r="N29">
        <f t="shared" si="7"/>
        <v>0</v>
      </c>
      <c r="O29">
        <f t="shared" si="8"/>
        <v>1</v>
      </c>
      <c r="P29">
        <f t="shared" si="9"/>
        <v>25</v>
      </c>
      <c r="Q29">
        <f t="shared" si="13"/>
        <v>0.62449280461242396</v>
      </c>
      <c r="R29">
        <f t="shared" si="1"/>
        <v>1.3513513513513514E-2</v>
      </c>
      <c r="S29">
        <f t="shared" si="2"/>
        <v>0.64864864864864868</v>
      </c>
      <c r="T29">
        <f t="shared" si="10"/>
        <v>0.35135135135135137</v>
      </c>
      <c r="U29">
        <f t="shared" si="16"/>
        <v>10</v>
      </c>
      <c r="V29">
        <f t="shared" si="14"/>
        <v>0.93059132122224997</v>
      </c>
      <c r="W29">
        <f t="shared" si="15"/>
        <v>0.86043395160149105</v>
      </c>
    </row>
    <row r="30" spans="1:23" x14ac:dyDescent="0.25">
      <c r="A30" t="s">
        <v>2</v>
      </c>
      <c r="B30">
        <v>685.62599999999998</v>
      </c>
      <c r="C30">
        <v>424</v>
      </c>
      <c r="D30" t="s">
        <v>353</v>
      </c>
      <c r="E30">
        <f t="shared" si="0"/>
        <v>15</v>
      </c>
      <c r="G30">
        <v>27</v>
      </c>
      <c r="H30">
        <f t="shared" si="11"/>
        <v>47</v>
      </c>
      <c r="I30">
        <f t="shared" si="3"/>
        <v>1</v>
      </c>
      <c r="J30">
        <f t="shared" si="4"/>
        <v>1</v>
      </c>
      <c r="K30">
        <f t="shared" si="5"/>
        <v>46</v>
      </c>
      <c r="L30">
        <f t="shared" si="12"/>
        <v>0.85001038259257189</v>
      </c>
      <c r="M30">
        <f t="shared" si="6"/>
        <v>25</v>
      </c>
      <c r="N30">
        <f t="shared" si="7"/>
        <v>0</v>
      </c>
      <c r="O30">
        <f t="shared" si="8"/>
        <v>0</v>
      </c>
      <c r="P30">
        <f t="shared" si="9"/>
        <v>25</v>
      </c>
      <c r="Q30">
        <f t="shared" si="13"/>
        <v>0.62449280461242396</v>
      </c>
      <c r="R30">
        <f t="shared" si="1"/>
        <v>1.3888888888888888E-2</v>
      </c>
      <c r="S30">
        <f t="shared" si="2"/>
        <v>0.65277777777777779</v>
      </c>
      <c r="T30">
        <f t="shared" si="10"/>
        <v>0.34722222222222221</v>
      </c>
      <c r="U30">
        <f t="shared" si="16"/>
        <v>11</v>
      </c>
      <c r="V30">
        <f t="shared" si="14"/>
        <v>0.93059132122224997</v>
      </c>
      <c r="W30">
        <f t="shared" si="15"/>
        <v>0.86043395160149105</v>
      </c>
    </row>
    <row r="31" spans="1:23" x14ac:dyDescent="0.25">
      <c r="A31" t="s">
        <v>43</v>
      </c>
      <c r="B31">
        <v>7.2798999999999996</v>
      </c>
      <c r="C31">
        <v>427</v>
      </c>
      <c r="D31" t="s">
        <v>353</v>
      </c>
      <c r="E31">
        <f t="shared" si="0"/>
        <v>15</v>
      </c>
      <c r="G31">
        <v>28</v>
      </c>
      <c r="H31">
        <f t="shared" si="11"/>
        <v>45</v>
      </c>
      <c r="I31">
        <f t="shared" si="3"/>
        <v>1</v>
      </c>
      <c r="J31">
        <f t="shared" si="4"/>
        <v>0</v>
      </c>
      <c r="K31">
        <f t="shared" si="5"/>
        <v>45</v>
      </c>
      <c r="L31">
        <f t="shared" si="12"/>
        <v>0.85001038259257189</v>
      </c>
      <c r="M31">
        <f t="shared" si="6"/>
        <v>25</v>
      </c>
      <c r="N31">
        <f t="shared" si="7"/>
        <v>0</v>
      </c>
      <c r="O31">
        <f t="shared" si="8"/>
        <v>0</v>
      </c>
      <c r="P31">
        <f t="shared" si="9"/>
        <v>25</v>
      </c>
      <c r="Q31">
        <f t="shared" si="13"/>
        <v>0.62449280461242396</v>
      </c>
      <c r="R31">
        <f t="shared" si="1"/>
        <v>0</v>
      </c>
      <c r="S31">
        <f t="shared" si="2"/>
        <v>0</v>
      </c>
      <c r="T31">
        <f t="shared" si="10"/>
        <v>0</v>
      </c>
      <c r="U31">
        <f t="shared" si="16"/>
        <v>11</v>
      </c>
      <c r="V31">
        <f t="shared" si="14"/>
        <v>0.93059132122225008</v>
      </c>
      <c r="W31">
        <f t="shared" si="15"/>
        <v>0.86043395160149105</v>
      </c>
    </row>
    <row r="32" spans="1:23" x14ac:dyDescent="0.25">
      <c r="A32" t="s">
        <v>3</v>
      </c>
      <c r="B32">
        <v>816.09640000000002</v>
      </c>
      <c r="C32">
        <v>442</v>
      </c>
      <c r="D32" t="s">
        <v>353</v>
      </c>
      <c r="E32">
        <f t="shared" si="0"/>
        <v>15</v>
      </c>
      <c r="G32">
        <v>29</v>
      </c>
      <c r="H32">
        <f t="shared" si="11"/>
        <v>45</v>
      </c>
      <c r="I32">
        <f t="shared" si="3"/>
        <v>0</v>
      </c>
      <c r="J32">
        <f t="shared" si="4"/>
        <v>1</v>
      </c>
      <c r="K32">
        <f t="shared" si="5"/>
        <v>44</v>
      </c>
      <c r="L32">
        <f t="shared" si="12"/>
        <v>0.83112126297940359</v>
      </c>
      <c r="M32">
        <f t="shared" si="6"/>
        <v>24</v>
      </c>
      <c r="N32">
        <f t="shared" si="7"/>
        <v>1</v>
      </c>
      <c r="O32">
        <f t="shared" si="8"/>
        <v>0</v>
      </c>
      <c r="P32">
        <f t="shared" si="9"/>
        <v>24</v>
      </c>
      <c r="Q32">
        <f t="shared" si="13"/>
        <v>0.62449280461242396</v>
      </c>
      <c r="R32">
        <f t="shared" si="1"/>
        <v>1.4492753623188406E-2</v>
      </c>
      <c r="S32">
        <f t="shared" si="2"/>
        <v>0.65217391304347827</v>
      </c>
      <c r="T32">
        <f t="shared" si="10"/>
        <v>0.34782608695652173</v>
      </c>
      <c r="U32">
        <f t="shared" si="16"/>
        <v>12</v>
      </c>
      <c r="V32">
        <f t="shared" si="14"/>
        <v>0.93059132122225008</v>
      </c>
      <c r="W32">
        <f t="shared" si="15"/>
        <v>0.86043395160149105</v>
      </c>
    </row>
    <row r="33" spans="1:23" x14ac:dyDescent="0.25">
      <c r="A33" t="s">
        <v>4</v>
      </c>
      <c r="B33">
        <v>267.28280000000001</v>
      </c>
      <c r="C33">
        <v>494</v>
      </c>
      <c r="D33" t="s">
        <v>353</v>
      </c>
      <c r="E33">
        <f t="shared" si="0"/>
        <v>17</v>
      </c>
      <c r="G33">
        <v>30</v>
      </c>
      <c r="H33">
        <f t="shared" si="11"/>
        <v>42</v>
      </c>
      <c r="I33">
        <f t="shared" si="3"/>
        <v>2</v>
      </c>
      <c r="J33">
        <f t="shared" si="4"/>
        <v>0</v>
      </c>
      <c r="K33">
        <f t="shared" si="5"/>
        <v>42</v>
      </c>
      <c r="L33">
        <f t="shared" si="12"/>
        <v>0.83112126297940359</v>
      </c>
      <c r="M33">
        <f t="shared" si="6"/>
        <v>24</v>
      </c>
      <c r="N33">
        <f t="shared" si="7"/>
        <v>0</v>
      </c>
      <c r="O33">
        <f t="shared" si="8"/>
        <v>1</v>
      </c>
      <c r="P33">
        <f t="shared" si="9"/>
        <v>23</v>
      </c>
      <c r="Q33">
        <f t="shared" si="13"/>
        <v>0.59847227108690626</v>
      </c>
      <c r="R33">
        <f t="shared" si="1"/>
        <v>1.5151515151515152E-2</v>
      </c>
      <c r="S33">
        <f t="shared" si="2"/>
        <v>0.63636363636363635</v>
      </c>
      <c r="T33">
        <f t="shared" si="10"/>
        <v>0.36363636363636365</v>
      </c>
      <c r="U33">
        <f t="shared" si="16"/>
        <v>12</v>
      </c>
      <c r="V33">
        <f t="shared" si="14"/>
        <v>0.91801576282735486</v>
      </c>
      <c r="W33">
        <f t="shared" si="15"/>
        <v>0.84533861911725428</v>
      </c>
    </row>
    <row r="34" spans="1:23" x14ac:dyDescent="0.25">
      <c r="A34" t="s">
        <v>16</v>
      </c>
      <c r="B34">
        <v>103.3099</v>
      </c>
      <c r="C34">
        <v>496</v>
      </c>
      <c r="D34" t="s">
        <v>353</v>
      </c>
      <c r="E34">
        <f t="shared" si="0"/>
        <v>17</v>
      </c>
      <c r="G34">
        <v>31</v>
      </c>
      <c r="H34">
        <f t="shared" si="11"/>
        <v>41</v>
      </c>
      <c r="I34">
        <f t="shared" si="3"/>
        <v>1</v>
      </c>
      <c r="J34">
        <f t="shared" si="4"/>
        <v>0</v>
      </c>
      <c r="K34">
        <f t="shared" si="5"/>
        <v>41</v>
      </c>
      <c r="L34">
        <f t="shared" si="12"/>
        <v>0.83112126297940359</v>
      </c>
      <c r="M34">
        <f t="shared" si="6"/>
        <v>23</v>
      </c>
      <c r="N34">
        <f t="shared" si="7"/>
        <v>0</v>
      </c>
      <c r="O34">
        <f t="shared" si="8"/>
        <v>0</v>
      </c>
      <c r="P34">
        <f t="shared" si="9"/>
        <v>23</v>
      </c>
      <c r="Q34">
        <f t="shared" si="13"/>
        <v>0.59847227108690626</v>
      </c>
      <c r="R34">
        <f t="shared" si="1"/>
        <v>0</v>
      </c>
      <c r="S34">
        <f t="shared" si="2"/>
        <v>0</v>
      </c>
      <c r="T34">
        <f t="shared" si="10"/>
        <v>0</v>
      </c>
      <c r="U34">
        <f t="shared" si="16"/>
        <v>13</v>
      </c>
      <c r="V34">
        <f t="shared" si="14"/>
        <v>0.91801576282735486</v>
      </c>
      <c r="W34">
        <f t="shared" si="15"/>
        <v>0.84533861911725428</v>
      </c>
    </row>
    <row r="35" spans="1:23" x14ac:dyDescent="0.25">
      <c r="A35" t="s">
        <v>32</v>
      </c>
      <c r="B35">
        <v>4.6837999999999997</v>
      </c>
      <c r="C35">
        <v>643</v>
      </c>
      <c r="D35" t="s">
        <v>353</v>
      </c>
      <c r="E35">
        <f t="shared" si="0"/>
        <v>22</v>
      </c>
      <c r="G35">
        <v>32</v>
      </c>
      <c r="H35">
        <f t="shared" si="11"/>
        <v>39</v>
      </c>
      <c r="I35">
        <f t="shared" si="3"/>
        <v>2</v>
      </c>
      <c r="J35">
        <f t="shared" si="4"/>
        <v>0</v>
      </c>
      <c r="K35">
        <f t="shared" si="5"/>
        <v>39</v>
      </c>
      <c r="L35">
        <f t="shared" si="12"/>
        <v>0.83112126297940359</v>
      </c>
      <c r="M35">
        <f t="shared" si="6"/>
        <v>22</v>
      </c>
      <c r="N35">
        <f t="shared" si="7"/>
        <v>1</v>
      </c>
      <c r="O35">
        <f t="shared" si="8"/>
        <v>0</v>
      </c>
      <c r="P35">
        <f t="shared" si="9"/>
        <v>22</v>
      </c>
      <c r="Q35">
        <f t="shared" si="13"/>
        <v>0.59847227108690626</v>
      </c>
      <c r="R35">
        <f t="shared" ref="R35:R66" si="17">SUM(J35,O35)/SUM(H35, M35)</f>
        <v>0</v>
      </c>
      <c r="S35">
        <f t="shared" ref="S35:S66" si="18">H35 * R35</f>
        <v>0</v>
      </c>
      <c r="T35">
        <f t="shared" si="10"/>
        <v>0</v>
      </c>
      <c r="U35">
        <f t="shared" si="16"/>
        <v>13</v>
      </c>
      <c r="V35">
        <f t="shared" si="14"/>
        <v>0.91801576282735498</v>
      </c>
      <c r="W35">
        <f t="shared" si="15"/>
        <v>0.81282559530505216</v>
      </c>
    </row>
    <row r="36" spans="1:23" x14ac:dyDescent="0.25">
      <c r="A36" t="s">
        <v>15</v>
      </c>
      <c r="B36">
        <v>10.291600000000001</v>
      </c>
      <c r="C36">
        <v>670</v>
      </c>
      <c r="D36" t="s">
        <v>353</v>
      </c>
      <c r="E36">
        <f t="shared" si="0"/>
        <v>23</v>
      </c>
      <c r="G36">
        <v>33</v>
      </c>
      <c r="H36">
        <f t="shared" si="11"/>
        <v>39</v>
      </c>
      <c r="I36">
        <f t="shared" si="3"/>
        <v>0</v>
      </c>
      <c r="J36">
        <f t="shared" si="4"/>
        <v>0</v>
      </c>
      <c r="K36">
        <f t="shared" si="5"/>
        <v>39</v>
      </c>
      <c r="L36">
        <f t="shared" si="12"/>
        <v>0.83112126297940359</v>
      </c>
      <c r="M36">
        <f t="shared" si="6"/>
        <v>22</v>
      </c>
      <c r="N36">
        <f t="shared" si="7"/>
        <v>0</v>
      </c>
      <c r="O36">
        <f t="shared" si="8"/>
        <v>0</v>
      </c>
      <c r="P36">
        <f t="shared" si="9"/>
        <v>22</v>
      </c>
      <c r="Q36">
        <f t="shared" si="13"/>
        <v>0.59847227108690626</v>
      </c>
      <c r="R36">
        <f t="shared" si="17"/>
        <v>0</v>
      </c>
      <c r="S36">
        <f t="shared" si="18"/>
        <v>0</v>
      </c>
      <c r="T36">
        <f t="shared" si="10"/>
        <v>0</v>
      </c>
      <c r="U36">
        <f t="shared" si="16"/>
        <v>14</v>
      </c>
      <c r="V36">
        <f t="shared" si="14"/>
        <v>0.91801576282735498</v>
      </c>
      <c r="W36">
        <f t="shared" si="15"/>
        <v>0.81282559530505216</v>
      </c>
    </row>
    <row r="37" spans="1:23" x14ac:dyDescent="0.25">
      <c r="A37" t="s">
        <v>21</v>
      </c>
      <c r="B37">
        <v>41.773299999999999</v>
      </c>
      <c r="C37">
        <v>680</v>
      </c>
      <c r="D37" t="s">
        <v>353</v>
      </c>
      <c r="E37">
        <f t="shared" si="0"/>
        <v>23</v>
      </c>
      <c r="G37">
        <v>34</v>
      </c>
      <c r="H37">
        <f t="shared" si="11"/>
        <v>39</v>
      </c>
      <c r="I37">
        <f t="shared" si="3"/>
        <v>0</v>
      </c>
      <c r="J37">
        <f t="shared" si="4"/>
        <v>0</v>
      </c>
      <c r="K37">
        <f t="shared" si="5"/>
        <v>39</v>
      </c>
      <c r="L37">
        <f t="shared" si="12"/>
        <v>0.83112126297940359</v>
      </c>
      <c r="M37">
        <f t="shared" si="6"/>
        <v>22</v>
      </c>
      <c r="N37">
        <f t="shared" si="7"/>
        <v>0</v>
      </c>
      <c r="O37">
        <f t="shared" si="8"/>
        <v>0</v>
      </c>
      <c r="P37">
        <f t="shared" si="9"/>
        <v>22</v>
      </c>
      <c r="Q37">
        <f t="shared" si="13"/>
        <v>0.59847227108690626</v>
      </c>
      <c r="R37">
        <f t="shared" si="17"/>
        <v>0</v>
      </c>
      <c r="S37">
        <f t="shared" si="18"/>
        <v>0</v>
      </c>
      <c r="T37">
        <f t="shared" si="10"/>
        <v>0</v>
      </c>
      <c r="U37">
        <f t="shared" si="16"/>
        <v>14</v>
      </c>
      <c r="V37">
        <f t="shared" si="14"/>
        <v>0.91801576282735498</v>
      </c>
      <c r="W37">
        <f t="shared" si="15"/>
        <v>0.81282559530505216</v>
      </c>
    </row>
    <row r="38" spans="1:23" x14ac:dyDescent="0.25">
      <c r="A38" t="s">
        <v>49</v>
      </c>
      <c r="B38">
        <v>68.485500000000002</v>
      </c>
      <c r="C38">
        <v>715</v>
      </c>
      <c r="D38" t="s">
        <v>353</v>
      </c>
      <c r="E38">
        <f t="shared" si="0"/>
        <v>24</v>
      </c>
      <c r="G38">
        <v>35</v>
      </c>
      <c r="H38">
        <f t="shared" si="11"/>
        <v>38</v>
      </c>
      <c r="I38">
        <f t="shared" si="3"/>
        <v>1</v>
      </c>
      <c r="J38">
        <f t="shared" si="4"/>
        <v>0</v>
      </c>
      <c r="K38">
        <f t="shared" si="5"/>
        <v>38</v>
      </c>
      <c r="L38">
        <f t="shared" si="12"/>
        <v>0.83112126297940359</v>
      </c>
      <c r="M38">
        <f t="shared" si="6"/>
        <v>22</v>
      </c>
      <c r="N38">
        <f t="shared" si="7"/>
        <v>0</v>
      </c>
      <c r="O38">
        <f t="shared" si="8"/>
        <v>0</v>
      </c>
      <c r="P38">
        <f t="shared" si="9"/>
        <v>22</v>
      </c>
      <c r="Q38">
        <f t="shared" si="13"/>
        <v>0.59847227108690626</v>
      </c>
      <c r="R38">
        <f t="shared" si="17"/>
        <v>0</v>
      </c>
      <c r="S38">
        <f t="shared" si="18"/>
        <v>0</v>
      </c>
      <c r="T38">
        <f t="shared" si="10"/>
        <v>0</v>
      </c>
      <c r="U38">
        <f t="shared" si="16"/>
        <v>15</v>
      </c>
      <c r="V38">
        <f t="shared" si="14"/>
        <v>0.91801576282735498</v>
      </c>
      <c r="W38">
        <f t="shared" si="15"/>
        <v>0.81282559530505216</v>
      </c>
    </row>
    <row r="39" spans="1:23" x14ac:dyDescent="0.25">
      <c r="A39" t="s">
        <v>34</v>
      </c>
      <c r="B39">
        <v>57.896599999999999</v>
      </c>
      <c r="C39">
        <v>743</v>
      </c>
      <c r="D39" t="s">
        <v>353</v>
      </c>
      <c r="E39">
        <f t="shared" si="0"/>
        <v>25</v>
      </c>
      <c r="G39">
        <v>36</v>
      </c>
      <c r="H39">
        <f t="shared" si="11"/>
        <v>38</v>
      </c>
      <c r="I39">
        <f t="shared" si="3"/>
        <v>0</v>
      </c>
      <c r="J39">
        <f t="shared" si="4"/>
        <v>0</v>
      </c>
      <c r="K39">
        <f t="shared" si="5"/>
        <v>38</v>
      </c>
      <c r="L39">
        <f t="shared" si="12"/>
        <v>0.83112126297940359</v>
      </c>
      <c r="M39">
        <f t="shared" si="6"/>
        <v>22</v>
      </c>
      <c r="N39">
        <f t="shared" si="7"/>
        <v>0</v>
      </c>
      <c r="O39">
        <f t="shared" si="8"/>
        <v>0</v>
      </c>
      <c r="P39">
        <f t="shared" si="9"/>
        <v>22</v>
      </c>
      <c r="Q39">
        <f t="shared" si="13"/>
        <v>0.59847227108690626</v>
      </c>
      <c r="R39">
        <f t="shared" si="17"/>
        <v>0</v>
      </c>
      <c r="S39">
        <f t="shared" si="18"/>
        <v>0</v>
      </c>
      <c r="T39">
        <f t="shared" si="10"/>
        <v>0</v>
      </c>
      <c r="U39">
        <f t="shared" si="16"/>
        <v>15</v>
      </c>
      <c r="V39">
        <f t="shared" si="14"/>
        <v>0.90431403502396168</v>
      </c>
      <c r="W39">
        <f t="shared" si="15"/>
        <v>0.75981523039385312</v>
      </c>
    </row>
    <row r="40" spans="1:23" x14ac:dyDescent="0.25">
      <c r="A40" t="s">
        <v>5</v>
      </c>
      <c r="B40">
        <v>209.51089999999999</v>
      </c>
      <c r="C40">
        <v>758</v>
      </c>
      <c r="D40" t="s">
        <v>353</v>
      </c>
      <c r="E40">
        <f t="shared" si="0"/>
        <v>26</v>
      </c>
      <c r="G40">
        <v>37</v>
      </c>
      <c r="H40">
        <f t="shared" si="11"/>
        <v>37</v>
      </c>
      <c r="I40">
        <f t="shared" si="3"/>
        <v>1</v>
      </c>
      <c r="J40">
        <f t="shared" si="4"/>
        <v>1</v>
      </c>
      <c r="K40">
        <f t="shared" si="5"/>
        <v>36</v>
      </c>
      <c r="L40">
        <f t="shared" si="12"/>
        <v>0.80865852614212241</v>
      </c>
      <c r="M40">
        <f t="shared" si="6"/>
        <v>22</v>
      </c>
      <c r="N40">
        <f t="shared" si="7"/>
        <v>0</v>
      </c>
      <c r="O40">
        <f t="shared" si="8"/>
        <v>0</v>
      </c>
      <c r="P40">
        <f t="shared" si="9"/>
        <v>22</v>
      </c>
      <c r="Q40">
        <f t="shared" si="13"/>
        <v>0.59847227108690626</v>
      </c>
      <c r="R40">
        <f t="shared" si="17"/>
        <v>1.6949152542372881E-2</v>
      </c>
      <c r="S40">
        <f t="shared" si="18"/>
        <v>0.6271186440677966</v>
      </c>
      <c r="T40">
        <f t="shared" si="10"/>
        <v>0.3728813559322034</v>
      </c>
      <c r="U40">
        <f t="shared" si="16"/>
        <v>16</v>
      </c>
      <c r="V40">
        <f t="shared" si="14"/>
        <v>0.90431403502396168</v>
      </c>
      <c r="W40">
        <f t="shared" si="15"/>
        <v>0.75981523039385312</v>
      </c>
    </row>
    <row r="41" spans="1:23" x14ac:dyDescent="0.25">
      <c r="A41" t="s">
        <v>44</v>
      </c>
      <c r="B41">
        <v>18.5732</v>
      </c>
      <c r="C41">
        <v>805</v>
      </c>
      <c r="D41" t="s">
        <v>353</v>
      </c>
      <c r="E41">
        <f t="shared" si="0"/>
        <v>27</v>
      </c>
      <c r="G41">
        <v>38</v>
      </c>
      <c r="H41">
        <f t="shared" si="11"/>
        <v>36</v>
      </c>
      <c r="I41">
        <f t="shared" si="3"/>
        <v>0</v>
      </c>
      <c r="J41">
        <f t="shared" si="4"/>
        <v>0</v>
      </c>
      <c r="K41">
        <f t="shared" si="5"/>
        <v>36</v>
      </c>
      <c r="L41">
        <f t="shared" si="12"/>
        <v>0.80865852614212241</v>
      </c>
      <c r="M41">
        <f t="shared" si="6"/>
        <v>21</v>
      </c>
      <c r="N41">
        <f t="shared" si="7"/>
        <v>1</v>
      </c>
      <c r="O41">
        <f t="shared" si="8"/>
        <v>0</v>
      </c>
      <c r="P41">
        <f t="shared" si="9"/>
        <v>21</v>
      </c>
      <c r="Q41">
        <f t="shared" si="13"/>
        <v>0.59847227108690626</v>
      </c>
      <c r="R41">
        <f t="shared" si="17"/>
        <v>0</v>
      </c>
      <c r="S41">
        <f t="shared" si="18"/>
        <v>0</v>
      </c>
      <c r="T41">
        <f t="shared" si="10"/>
        <v>0</v>
      </c>
      <c r="U41">
        <f t="shared" si="16"/>
        <v>16</v>
      </c>
      <c r="V41">
        <f t="shared" si="14"/>
        <v>0.90431403502396168</v>
      </c>
      <c r="W41">
        <f t="shared" si="15"/>
        <v>0.75981523039385312</v>
      </c>
    </row>
    <row r="42" spans="1:23" x14ac:dyDescent="0.25">
      <c r="A42" t="s">
        <v>48</v>
      </c>
      <c r="B42">
        <v>18.537800000000001</v>
      </c>
      <c r="C42">
        <v>858</v>
      </c>
      <c r="D42" t="s">
        <v>353</v>
      </c>
      <c r="E42">
        <f t="shared" si="0"/>
        <v>29</v>
      </c>
      <c r="G42">
        <v>39</v>
      </c>
      <c r="H42">
        <f t="shared" si="11"/>
        <v>36</v>
      </c>
      <c r="I42">
        <f t="shared" si="3"/>
        <v>0</v>
      </c>
      <c r="J42">
        <f t="shared" si="4"/>
        <v>1</v>
      </c>
      <c r="K42">
        <f t="shared" si="5"/>
        <v>35</v>
      </c>
      <c r="L42">
        <f t="shared" si="12"/>
        <v>0.78619578930484124</v>
      </c>
      <c r="M42">
        <f t="shared" si="6"/>
        <v>21</v>
      </c>
      <c r="N42">
        <f t="shared" si="7"/>
        <v>0</v>
      </c>
      <c r="O42">
        <f t="shared" si="8"/>
        <v>0</v>
      </c>
      <c r="P42">
        <f t="shared" si="9"/>
        <v>21</v>
      </c>
      <c r="Q42">
        <f t="shared" si="13"/>
        <v>0.59847227108690626</v>
      </c>
      <c r="R42">
        <f t="shared" si="17"/>
        <v>1.7543859649122806E-2</v>
      </c>
      <c r="S42">
        <f t="shared" si="18"/>
        <v>0.63157894736842102</v>
      </c>
      <c r="T42">
        <f t="shared" si="10"/>
        <v>0.36842105263157893</v>
      </c>
      <c r="U42">
        <f t="shared" si="16"/>
        <v>17</v>
      </c>
      <c r="V42">
        <f t="shared" si="14"/>
        <v>0.90431403502396168</v>
      </c>
      <c r="W42">
        <f t="shared" si="15"/>
        <v>0.75981523039385312</v>
      </c>
    </row>
    <row r="43" spans="1:23" x14ac:dyDescent="0.25">
      <c r="A43" t="s">
        <v>27</v>
      </c>
      <c r="B43">
        <v>50.095999999999997</v>
      </c>
      <c r="C43">
        <v>899</v>
      </c>
      <c r="D43" t="s">
        <v>353</v>
      </c>
      <c r="E43">
        <f t="shared" si="0"/>
        <v>30</v>
      </c>
      <c r="G43">
        <v>40</v>
      </c>
      <c r="H43">
        <f t="shared" si="11"/>
        <v>34</v>
      </c>
      <c r="I43">
        <f t="shared" si="3"/>
        <v>1</v>
      </c>
      <c r="J43">
        <f t="shared" si="4"/>
        <v>0</v>
      </c>
      <c r="K43">
        <f t="shared" si="5"/>
        <v>34</v>
      </c>
      <c r="L43">
        <f t="shared" si="12"/>
        <v>0.78619578930484124</v>
      </c>
      <c r="M43">
        <f t="shared" si="6"/>
        <v>21</v>
      </c>
      <c r="N43">
        <f t="shared" si="7"/>
        <v>0</v>
      </c>
      <c r="O43">
        <f t="shared" si="8"/>
        <v>0</v>
      </c>
      <c r="P43">
        <f t="shared" si="9"/>
        <v>21</v>
      </c>
      <c r="Q43">
        <f t="shared" si="13"/>
        <v>0.59847227108690626</v>
      </c>
      <c r="R43">
        <f t="shared" si="17"/>
        <v>0</v>
      </c>
      <c r="S43">
        <f t="shared" si="18"/>
        <v>0</v>
      </c>
      <c r="T43">
        <f t="shared" si="10"/>
        <v>0</v>
      </c>
      <c r="U43">
        <f t="shared" si="16"/>
        <v>17</v>
      </c>
      <c r="V43">
        <f t="shared" si="14"/>
        <v>0.90431403502396168</v>
      </c>
      <c r="W43">
        <f t="shared" si="15"/>
        <v>0.72182446887416041</v>
      </c>
    </row>
    <row r="44" spans="1:23" x14ac:dyDescent="0.25">
      <c r="A44" t="s">
        <v>46</v>
      </c>
      <c r="B44">
        <v>13.59</v>
      </c>
      <c r="C44">
        <v>1094</v>
      </c>
      <c r="D44" t="s">
        <v>353</v>
      </c>
      <c r="E44">
        <f t="shared" si="0"/>
        <v>37</v>
      </c>
      <c r="G44">
        <v>41</v>
      </c>
      <c r="H44">
        <f t="shared" si="11"/>
        <v>33</v>
      </c>
      <c r="I44">
        <f t="shared" si="3"/>
        <v>1</v>
      </c>
      <c r="J44">
        <f t="shared" si="4"/>
        <v>0</v>
      </c>
      <c r="K44">
        <f t="shared" si="5"/>
        <v>33</v>
      </c>
      <c r="L44">
        <f t="shared" si="12"/>
        <v>0.78619578930484124</v>
      </c>
      <c r="M44">
        <f t="shared" si="6"/>
        <v>20</v>
      </c>
      <c r="N44">
        <f t="shared" si="7"/>
        <v>1</v>
      </c>
      <c r="O44">
        <f t="shared" si="8"/>
        <v>0</v>
      </c>
      <c r="P44">
        <f t="shared" si="9"/>
        <v>20</v>
      </c>
      <c r="Q44">
        <f t="shared" si="13"/>
        <v>0.59847227108690626</v>
      </c>
      <c r="R44">
        <f t="shared" si="17"/>
        <v>0</v>
      </c>
      <c r="S44">
        <f t="shared" si="18"/>
        <v>0</v>
      </c>
      <c r="T44">
        <f t="shared" si="10"/>
        <v>0</v>
      </c>
      <c r="U44">
        <f t="shared" si="16"/>
        <v>18</v>
      </c>
      <c r="V44">
        <f t="shared" si="14"/>
        <v>0.90431403502396168</v>
      </c>
      <c r="W44">
        <f t="shared" si="15"/>
        <v>0.72182446887416041</v>
      </c>
    </row>
    <row r="45" spans="1:23" x14ac:dyDescent="0.25">
      <c r="A45" t="s">
        <v>35</v>
      </c>
      <c r="B45">
        <v>22.325399999999998</v>
      </c>
      <c r="C45">
        <v>1162</v>
      </c>
      <c r="D45" t="s">
        <v>353</v>
      </c>
      <c r="E45">
        <f t="shared" si="0"/>
        <v>39</v>
      </c>
      <c r="G45">
        <v>42</v>
      </c>
      <c r="H45">
        <f t="shared" si="11"/>
        <v>33</v>
      </c>
      <c r="I45">
        <f t="shared" si="3"/>
        <v>0</v>
      </c>
      <c r="J45">
        <f t="shared" si="4"/>
        <v>0</v>
      </c>
      <c r="K45">
        <f t="shared" si="5"/>
        <v>33</v>
      </c>
      <c r="L45">
        <f t="shared" si="12"/>
        <v>0.78619578930484124</v>
      </c>
      <c r="M45">
        <f t="shared" si="6"/>
        <v>20</v>
      </c>
      <c r="N45">
        <f t="shared" si="7"/>
        <v>0</v>
      </c>
      <c r="O45">
        <f t="shared" si="8"/>
        <v>0</v>
      </c>
      <c r="P45">
        <f t="shared" si="9"/>
        <v>20</v>
      </c>
      <c r="Q45">
        <f t="shared" si="13"/>
        <v>0.59847227108690626</v>
      </c>
      <c r="R45">
        <f t="shared" si="17"/>
        <v>0</v>
      </c>
      <c r="S45">
        <f t="shared" si="18"/>
        <v>0</v>
      </c>
      <c r="T45">
        <f t="shared" si="10"/>
        <v>0</v>
      </c>
      <c r="U45">
        <f t="shared" si="16"/>
        <v>18</v>
      </c>
      <c r="V45">
        <f t="shared" si="14"/>
        <v>0.90431403502396168</v>
      </c>
      <c r="W45">
        <f t="shared" si="15"/>
        <v>0.72182446887416041</v>
      </c>
    </row>
    <row r="46" spans="1:23" x14ac:dyDescent="0.25">
      <c r="A46" t="s">
        <v>40</v>
      </c>
      <c r="B46">
        <v>3.4409000000000001</v>
      </c>
      <c r="C46">
        <v>1348</v>
      </c>
      <c r="D46" t="s">
        <v>353</v>
      </c>
      <c r="E46">
        <f t="shared" si="0"/>
        <v>45</v>
      </c>
      <c r="G46">
        <v>43</v>
      </c>
      <c r="H46">
        <f t="shared" si="11"/>
        <v>33</v>
      </c>
      <c r="I46">
        <f t="shared" si="3"/>
        <v>0</v>
      </c>
      <c r="J46">
        <f t="shared" si="4"/>
        <v>0</v>
      </c>
      <c r="K46">
        <f t="shared" si="5"/>
        <v>33</v>
      </c>
      <c r="L46">
        <f t="shared" si="12"/>
        <v>0.78619578930484124</v>
      </c>
      <c r="M46">
        <f t="shared" si="6"/>
        <v>20</v>
      </c>
      <c r="N46">
        <f t="shared" si="7"/>
        <v>0</v>
      </c>
      <c r="O46">
        <f t="shared" si="8"/>
        <v>0</v>
      </c>
      <c r="P46">
        <f t="shared" si="9"/>
        <v>20</v>
      </c>
      <c r="Q46">
        <f t="shared" si="13"/>
        <v>0.59847227108690626</v>
      </c>
      <c r="R46">
        <f t="shared" si="17"/>
        <v>0</v>
      </c>
      <c r="S46">
        <f t="shared" si="18"/>
        <v>0</v>
      </c>
      <c r="T46">
        <f t="shared" si="10"/>
        <v>0</v>
      </c>
      <c r="U46">
        <f t="shared" si="16"/>
        <v>19</v>
      </c>
      <c r="V46">
        <f t="shared" si="14"/>
        <v>0.90431403502396168</v>
      </c>
      <c r="W46">
        <f t="shared" si="15"/>
        <v>0.72182446887416041</v>
      </c>
    </row>
    <row r="47" spans="1:23" x14ac:dyDescent="0.25">
      <c r="A47" t="s">
        <v>50</v>
      </c>
      <c r="B47">
        <v>55.701799999999999</v>
      </c>
      <c r="C47">
        <v>1422</v>
      </c>
      <c r="D47" t="s">
        <v>353</v>
      </c>
      <c r="E47">
        <f t="shared" si="0"/>
        <v>48</v>
      </c>
      <c r="G47">
        <v>44</v>
      </c>
      <c r="H47">
        <f t="shared" si="11"/>
        <v>32</v>
      </c>
      <c r="I47">
        <f t="shared" si="3"/>
        <v>1</v>
      </c>
      <c r="J47">
        <f t="shared" si="4"/>
        <v>0</v>
      </c>
      <c r="K47">
        <f t="shared" si="5"/>
        <v>32</v>
      </c>
      <c r="L47">
        <f t="shared" si="12"/>
        <v>0.78619578930484124</v>
      </c>
      <c r="M47">
        <f t="shared" si="6"/>
        <v>20</v>
      </c>
      <c r="N47">
        <f t="shared" si="7"/>
        <v>0</v>
      </c>
      <c r="O47">
        <f t="shared" si="8"/>
        <v>0</v>
      </c>
      <c r="P47">
        <f t="shared" si="9"/>
        <v>20</v>
      </c>
      <c r="Q47">
        <f t="shared" si="13"/>
        <v>0.59847227108690626</v>
      </c>
      <c r="R47">
        <f t="shared" si="17"/>
        <v>0</v>
      </c>
      <c r="S47">
        <f t="shared" si="18"/>
        <v>0</v>
      </c>
      <c r="T47">
        <f t="shared" si="10"/>
        <v>0</v>
      </c>
      <c r="U47">
        <f t="shared" si="16"/>
        <v>19</v>
      </c>
      <c r="V47">
        <f t="shared" si="14"/>
        <v>0.90431403502396168</v>
      </c>
      <c r="W47">
        <f t="shared" si="15"/>
        <v>0.72182446887416041</v>
      </c>
    </row>
    <row r="48" spans="1:23" x14ac:dyDescent="0.25">
      <c r="A48" t="s">
        <v>23</v>
      </c>
      <c r="B48">
        <v>3.7797000000000001</v>
      </c>
      <c r="C48">
        <v>1503</v>
      </c>
      <c r="D48" t="s">
        <v>353</v>
      </c>
      <c r="E48">
        <f t="shared" si="0"/>
        <v>51</v>
      </c>
      <c r="G48">
        <v>45</v>
      </c>
      <c r="H48">
        <f t="shared" si="11"/>
        <v>29</v>
      </c>
      <c r="I48">
        <f t="shared" si="3"/>
        <v>3</v>
      </c>
      <c r="J48">
        <f t="shared" si="4"/>
        <v>1</v>
      </c>
      <c r="K48">
        <f t="shared" si="5"/>
        <v>28</v>
      </c>
      <c r="L48">
        <f t="shared" si="12"/>
        <v>0.75908558967363982</v>
      </c>
      <c r="M48">
        <f t="shared" si="6"/>
        <v>20</v>
      </c>
      <c r="N48">
        <f t="shared" si="7"/>
        <v>0</v>
      </c>
      <c r="O48">
        <f t="shared" si="8"/>
        <v>0</v>
      </c>
      <c r="P48">
        <f t="shared" si="9"/>
        <v>20</v>
      </c>
      <c r="Q48">
        <f t="shared" si="13"/>
        <v>0.59847227108690626</v>
      </c>
      <c r="R48">
        <f t="shared" si="17"/>
        <v>2.0408163265306121E-2</v>
      </c>
      <c r="S48">
        <f t="shared" si="18"/>
        <v>0.59183673469387754</v>
      </c>
      <c r="T48">
        <f t="shared" si="10"/>
        <v>0.4081632653061224</v>
      </c>
      <c r="U48">
        <f t="shared" si="16"/>
        <v>20</v>
      </c>
      <c r="V48">
        <f t="shared" si="14"/>
        <v>0.90431403502396168</v>
      </c>
      <c r="W48">
        <f t="shared" si="15"/>
        <v>0.72182446887416041</v>
      </c>
    </row>
    <row r="49" spans="1:23" x14ac:dyDescent="0.25">
      <c r="A49" t="s">
        <v>37</v>
      </c>
      <c r="B49">
        <v>5.9297000000000004</v>
      </c>
      <c r="C49">
        <v>1518</v>
      </c>
      <c r="D49" t="s">
        <v>353</v>
      </c>
      <c r="E49">
        <f t="shared" si="0"/>
        <v>51</v>
      </c>
      <c r="G49">
        <v>46</v>
      </c>
      <c r="H49">
        <f t="shared" si="11"/>
        <v>28</v>
      </c>
      <c r="I49">
        <f t="shared" si="3"/>
        <v>0</v>
      </c>
      <c r="J49">
        <f t="shared" si="4"/>
        <v>0</v>
      </c>
      <c r="K49">
        <f t="shared" si="5"/>
        <v>28</v>
      </c>
      <c r="L49">
        <f t="shared" si="12"/>
        <v>0.75908558967363982</v>
      </c>
      <c r="M49">
        <f t="shared" si="6"/>
        <v>19</v>
      </c>
      <c r="N49">
        <f t="shared" si="7"/>
        <v>1</v>
      </c>
      <c r="O49">
        <f t="shared" si="8"/>
        <v>0</v>
      </c>
      <c r="P49">
        <f t="shared" si="9"/>
        <v>19</v>
      </c>
      <c r="Q49">
        <f t="shared" si="13"/>
        <v>0.59847227108690626</v>
      </c>
      <c r="R49">
        <f t="shared" si="17"/>
        <v>0</v>
      </c>
      <c r="S49">
        <f t="shared" si="18"/>
        <v>0</v>
      </c>
      <c r="T49">
        <f t="shared" si="10"/>
        <v>0</v>
      </c>
      <c r="U49">
        <f t="shared" si="16"/>
        <v>20</v>
      </c>
      <c r="V49">
        <f t="shared" si="14"/>
        <v>0.90431403502396168</v>
      </c>
      <c r="W49">
        <f t="shared" si="15"/>
        <v>0.72182446887416041</v>
      </c>
    </row>
    <row r="50" spans="1:23" x14ac:dyDescent="0.25">
      <c r="A50" t="s">
        <v>47</v>
      </c>
      <c r="B50">
        <v>5.0458999999999996</v>
      </c>
      <c r="C50">
        <v>1849</v>
      </c>
      <c r="D50" t="s">
        <v>353</v>
      </c>
      <c r="E50">
        <f t="shared" si="0"/>
        <v>62</v>
      </c>
      <c r="G50">
        <v>47</v>
      </c>
      <c r="H50">
        <f t="shared" si="11"/>
        <v>27</v>
      </c>
      <c r="I50">
        <f t="shared" si="3"/>
        <v>1</v>
      </c>
      <c r="J50">
        <f t="shared" si="4"/>
        <v>0</v>
      </c>
      <c r="K50">
        <f t="shared" si="5"/>
        <v>27</v>
      </c>
      <c r="L50">
        <f t="shared" si="12"/>
        <v>0.75908558967363982</v>
      </c>
      <c r="M50">
        <f t="shared" si="6"/>
        <v>18</v>
      </c>
      <c r="N50">
        <f t="shared" si="7"/>
        <v>1</v>
      </c>
      <c r="O50">
        <f t="shared" si="8"/>
        <v>0</v>
      </c>
      <c r="P50">
        <f t="shared" si="9"/>
        <v>18</v>
      </c>
      <c r="Q50">
        <f t="shared" si="13"/>
        <v>0.59847227108690626</v>
      </c>
      <c r="R50">
        <f t="shared" si="17"/>
        <v>0</v>
      </c>
      <c r="S50">
        <f t="shared" si="18"/>
        <v>0</v>
      </c>
      <c r="T50">
        <f t="shared" si="10"/>
        <v>0</v>
      </c>
      <c r="U50">
        <f t="shared" si="16"/>
        <v>21</v>
      </c>
      <c r="V50">
        <f t="shared" si="14"/>
        <v>0.90431403502396168</v>
      </c>
      <c r="W50">
        <f t="shared" si="15"/>
        <v>0.72182446887416041</v>
      </c>
    </row>
    <row r="51" spans="1:23" x14ac:dyDescent="0.25">
      <c r="A51" t="s">
        <v>6</v>
      </c>
      <c r="B51">
        <v>72.407600000000002</v>
      </c>
      <c r="C51">
        <v>1881</v>
      </c>
      <c r="D51" t="s">
        <v>353</v>
      </c>
      <c r="E51">
        <f t="shared" si="0"/>
        <v>63</v>
      </c>
      <c r="G51">
        <v>48</v>
      </c>
      <c r="H51">
        <f t="shared" si="11"/>
        <v>27</v>
      </c>
      <c r="I51">
        <f t="shared" si="3"/>
        <v>0</v>
      </c>
      <c r="J51">
        <f t="shared" si="4"/>
        <v>0</v>
      </c>
      <c r="K51">
        <f t="shared" si="5"/>
        <v>27</v>
      </c>
      <c r="L51">
        <f t="shared" si="12"/>
        <v>0.75908558967363982</v>
      </c>
      <c r="M51">
        <f t="shared" si="6"/>
        <v>17</v>
      </c>
      <c r="N51">
        <f t="shared" si="7"/>
        <v>1</v>
      </c>
      <c r="O51">
        <f t="shared" si="8"/>
        <v>1</v>
      </c>
      <c r="P51">
        <f t="shared" si="9"/>
        <v>16</v>
      </c>
      <c r="Q51">
        <f t="shared" si="13"/>
        <v>0.56326801984649999</v>
      </c>
      <c r="R51">
        <f t="shared" si="17"/>
        <v>2.2727272727272728E-2</v>
      </c>
      <c r="S51">
        <f t="shared" si="18"/>
        <v>0.61363636363636365</v>
      </c>
      <c r="T51">
        <f t="shared" si="10"/>
        <v>0.38636363636363635</v>
      </c>
      <c r="U51">
        <f t="shared" si="16"/>
        <v>21</v>
      </c>
      <c r="V51">
        <f t="shared" si="14"/>
        <v>0.90431403502396168</v>
      </c>
      <c r="W51">
        <f t="shared" si="15"/>
        <v>0.72182446887416041</v>
      </c>
    </row>
    <row r="52" spans="1:23" x14ac:dyDescent="0.25">
      <c r="A52" t="s">
        <v>22</v>
      </c>
      <c r="B52">
        <v>209.62520000000001</v>
      </c>
      <c r="C52">
        <v>1910</v>
      </c>
      <c r="D52" t="s">
        <v>353</v>
      </c>
      <c r="E52">
        <f t="shared" si="0"/>
        <v>64</v>
      </c>
      <c r="G52">
        <v>49</v>
      </c>
      <c r="H52">
        <f t="shared" si="11"/>
        <v>27</v>
      </c>
      <c r="I52">
        <f t="shared" si="3"/>
        <v>0</v>
      </c>
      <c r="J52">
        <f t="shared" si="4"/>
        <v>0</v>
      </c>
      <c r="K52">
        <f t="shared" si="5"/>
        <v>27</v>
      </c>
      <c r="L52">
        <f t="shared" si="12"/>
        <v>0.75908558967363982</v>
      </c>
      <c r="M52">
        <f t="shared" si="6"/>
        <v>15</v>
      </c>
      <c r="N52">
        <f t="shared" si="7"/>
        <v>1</v>
      </c>
      <c r="O52">
        <f t="shared" si="8"/>
        <v>0</v>
      </c>
      <c r="P52">
        <f t="shared" si="9"/>
        <v>15</v>
      </c>
      <c r="Q52">
        <f t="shared" si="13"/>
        <v>0.56326801984649999</v>
      </c>
      <c r="R52">
        <f t="shared" si="17"/>
        <v>0</v>
      </c>
      <c r="S52">
        <f t="shared" si="18"/>
        <v>0</v>
      </c>
      <c r="T52">
        <f t="shared" si="10"/>
        <v>0</v>
      </c>
      <c r="U52">
        <f t="shared" si="16"/>
        <v>22</v>
      </c>
      <c r="V52">
        <f t="shared" si="14"/>
        <v>0.90431403502396168</v>
      </c>
      <c r="W52">
        <f t="shared" si="15"/>
        <v>0.72182446887416041</v>
      </c>
    </row>
    <row r="53" spans="1:23" x14ac:dyDescent="0.25">
      <c r="A53" t="s">
        <v>45</v>
      </c>
      <c r="B53">
        <v>2.4731999999999998</v>
      </c>
      <c r="C53">
        <v>2475</v>
      </c>
      <c r="D53" t="s">
        <v>353</v>
      </c>
      <c r="E53">
        <f t="shared" si="0"/>
        <v>83</v>
      </c>
      <c r="G53">
        <v>50</v>
      </c>
      <c r="H53">
        <f t="shared" si="11"/>
        <v>26</v>
      </c>
      <c r="I53">
        <f t="shared" si="3"/>
        <v>1</v>
      </c>
      <c r="J53">
        <f t="shared" si="4"/>
        <v>0</v>
      </c>
      <c r="K53">
        <f t="shared" si="5"/>
        <v>26</v>
      </c>
      <c r="L53">
        <f t="shared" si="12"/>
        <v>0.75908558967363982</v>
      </c>
      <c r="M53">
        <f t="shared" si="6"/>
        <v>13</v>
      </c>
      <c r="N53">
        <f t="shared" si="7"/>
        <v>2</v>
      </c>
      <c r="O53">
        <f t="shared" si="8"/>
        <v>0</v>
      </c>
      <c r="P53">
        <f t="shared" si="9"/>
        <v>13</v>
      </c>
      <c r="Q53">
        <f t="shared" si="13"/>
        <v>0.56326801984649999</v>
      </c>
      <c r="R53">
        <f t="shared" si="17"/>
        <v>0</v>
      </c>
      <c r="S53">
        <f t="shared" si="18"/>
        <v>0</v>
      </c>
      <c r="T53">
        <f t="shared" si="10"/>
        <v>0</v>
      </c>
      <c r="U53">
        <f t="shared" si="16"/>
        <v>22</v>
      </c>
      <c r="V53">
        <f t="shared" si="14"/>
        <v>0.88658238727839378</v>
      </c>
      <c r="W53">
        <f t="shared" si="15"/>
        <v>0.72182446887416041</v>
      </c>
    </row>
    <row r="54" spans="1:23" x14ac:dyDescent="0.25">
      <c r="A54" t="s">
        <v>36</v>
      </c>
      <c r="B54">
        <v>0.81530000000000002</v>
      </c>
      <c r="C54">
        <v>2821</v>
      </c>
      <c r="D54" t="s">
        <v>353</v>
      </c>
      <c r="E54">
        <f t="shared" si="0"/>
        <v>95</v>
      </c>
      <c r="G54">
        <v>51</v>
      </c>
      <c r="H54">
        <f t="shared" si="11"/>
        <v>25</v>
      </c>
      <c r="I54">
        <f t="shared" si="3"/>
        <v>1</v>
      </c>
      <c r="J54">
        <f t="shared" si="4"/>
        <v>2</v>
      </c>
      <c r="K54">
        <f t="shared" si="5"/>
        <v>23</v>
      </c>
      <c r="L54">
        <f t="shared" si="12"/>
        <v>0.69835874249974861</v>
      </c>
      <c r="M54">
        <f t="shared" si="6"/>
        <v>13</v>
      </c>
      <c r="N54">
        <f t="shared" si="7"/>
        <v>0</v>
      </c>
      <c r="O54">
        <f t="shared" si="8"/>
        <v>0</v>
      </c>
      <c r="P54">
        <f t="shared" si="9"/>
        <v>13</v>
      </c>
      <c r="Q54">
        <f t="shared" si="13"/>
        <v>0.56326801984649999</v>
      </c>
      <c r="R54">
        <f t="shared" si="17"/>
        <v>5.2631578947368418E-2</v>
      </c>
      <c r="S54">
        <f t="shared" si="18"/>
        <v>1.3157894736842104</v>
      </c>
      <c r="T54">
        <f t="shared" si="10"/>
        <v>0.68421052631578938</v>
      </c>
      <c r="U54">
        <f t="shared" si="16"/>
        <v>23</v>
      </c>
      <c r="V54">
        <f t="shared" si="14"/>
        <v>0.88658238727839378</v>
      </c>
      <c r="W54">
        <f t="shared" si="15"/>
        <v>0.72182446887416041</v>
      </c>
    </row>
    <row r="55" spans="1:23" x14ac:dyDescent="0.25">
      <c r="A55" t="s">
        <v>26</v>
      </c>
      <c r="B55">
        <v>23.206800000000001</v>
      </c>
      <c r="C55">
        <v>3042</v>
      </c>
      <c r="D55" t="s">
        <v>353</v>
      </c>
      <c r="E55">
        <f t="shared" si="0"/>
        <v>102</v>
      </c>
      <c r="G55">
        <v>52</v>
      </c>
      <c r="H55">
        <f t="shared" si="11"/>
        <v>23</v>
      </c>
      <c r="I55">
        <f t="shared" si="3"/>
        <v>0</v>
      </c>
      <c r="J55">
        <f t="shared" si="4"/>
        <v>0</v>
      </c>
      <c r="K55">
        <f t="shared" si="5"/>
        <v>23</v>
      </c>
      <c r="L55">
        <f t="shared" si="12"/>
        <v>0.69835874249974861</v>
      </c>
      <c r="M55">
        <f t="shared" si="6"/>
        <v>13</v>
      </c>
      <c r="N55">
        <f t="shared" si="7"/>
        <v>0</v>
      </c>
      <c r="O55">
        <f t="shared" si="8"/>
        <v>0</v>
      </c>
      <c r="P55">
        <f t="shared" si="9"/>
        <v>13</v>
      </c>
      <c r="Q55">
        <f t="shared" si="13"/>
        <v>0.56326801984649999</v>
      </c>
      <c r="R55">
        <f t="shared" si="17"/>
        <v>0</v>
      </c>
      <c r="S55">
        <f t="shared" si="18"/>
        <v>0</v>
      </c>
      <c r="T55">
        <f t="shared" si="10"/>
        <v>0</v>
      </c>
      <c r="U55">
        <f t="shared" si="16"/>
        <v>23</v>
      </c>
      <c r="V55">
        <f t="shared" si="14"/>
        <v>0.86848886917067136</v>
      </c>
      <c r="W55">
        <f t="shared" si="15"/>
        <v>0.6985398085878971</v>
      </c>
    </row>
    <row r="56" spans="1:23" x14ac:dyDescent="0.25">
      <c r="A56" t="s">
        <v>52</v>
      </c>
      <c r="B56">
        <v>12.5725</v>
      </c>
      <c r="C56">
        <v>154</v>
      </c>
      <c r="D56" t="s">
        <v>354</v>
      </c>
      <c r="E56">
        <f t="shared" si="0"/>
        <v>6</v>
      </c>
      <c r="G56">
        <v>53</v>
      </c>
      <c r="H56">
        <f t="shared" si="11"/>
        <v>23</v>
      </c>
      <c r="I56">
        <f t="shared" si="3"/>
        <v>0</v>
      </c>
      <c r="J56">
        <f t="shared" si="4"/>
        <v>0</v>
      </c>
      <c r="K56">
        <f t="shared" si="5"/>
        <v>23</v>
      </c>
      <c r="L56">
        <f t="shared" si="12"/>
        <v>0.69835874249974861</v>
      </c>
      <c r="M56">
        <f t="shared" si="6"/>
        <v>13</v>
      </c>
      <c r="N56">
        <f t="shared" si="7"/>
        <v>0</v>
      </c>
      <c r="O56">
        <f t="shared" si="8"/>
        <v>0</v>
      </c>
      <c r="P56">
        <f t="shared" si="9"/>
        <v>13</v>
      </c>
      <c r="Q56">
        <f t="shared" si="13"/>
        <v>0.56326801984649999</v>
      </c>
      <c r="R56">
        <f t="shared" si="17"/>
        <v>0</v>
      </c>
      <c r="S56">
        <f t="shared" si="18"/>
        <v>0</v>
      </c>
      <c r="T56">
        <f t="shared" si="10"/>
        <v>0</v>
      </c>
      <c r="U56">
        <f t="shared" si="16"/>
        <v>24</v>
      </c>
      <c r="V56">
        <f t="shared" si="14"/>
        <v>0.86848886917067136</v>
      </c>
      <c r="W56">
        <f t="shared" si="15"/>
        <v>0.6985398085878971</v>
      </c>
    </row>
    <row r="57" spans="1:23" x14ac:dyDescent="0.25">
      <c r="A57" t="s">
        <v>53</v>
      </c>
      <c r="B57">
        <v>13.546200000000001</v>
      </c>
      <c r="C57">
        <v>8</v>
      </c>
      <c r="D57" t="s">
        <v>354</v>
      </c>
      <c r="E57">
        <f t="shared" si="0"/>
        <v>1</v>
      </c>
      <c r="G57">
        <v>54</v>
      </c>
      <c r="H57">
        <f t="shared" si="11"/>
        <v>22</v>
      </c>
      <c r="I57">
        <f t="shared" si="3"/>
        <v>1</v>
      </c>
      <c r="J57">
        <f t="shared" si="4"/>
        <v>0</v>
      </c>
      <c r="K57">
        <f t="shared" si="5"/>
        <v>22</v>
      </c>
      <c r="L57">
        <f t="shared" si="12"/>
        <v>0.69835874249974861</v>
      </c>
      <c r="M57">
        <f t="shared" si="6"/>
        <v>12</v>
      </c>
      <c r="N57">
        <f t="shared" si="7"/>
        <v>1</v>
      </c>
      <c r="O57">
        <f t="shared" si="8"/>
        <v>0</v>
      </c>
      <c r="P57">
        <f t="shared" si="9"/>
        <v>12</v>
      </c>
      <c r="Q57">
        <f t="shared" si="13"/>
        <v>0.56326801984649999</v>
      </c>
      <c r="R57">
        <f t="shared" si="17"/>
        <v>0</v>
      </c>
      <c r="S57">
        <f t="shared" si="18"/>
        <v>0</v>
      </c>
      <c r="T57">
        <f t="shared" si="10"/>
        <v>0</v>
      </c>
      <c r="U57">
        <f t="shared" si="16"/>
        <v>24</v>
      </c>
      <c r="V57">
        <f t="shared" si="14"/>
        <v>0.86848886917067125</v>
      </c>
      <c r="W57">
        <f t="shared" si="15"/>
        <v>0.67445222898141788</v>
      </c>
    </row>
    <row r="58" spans="1:23" x14ac:dyDescent="0.25">
      <c r="A58" t="s">
        <v>54</v>
      </c>
      <c r="B58">
        <v>10.235799999999999</v>
      </c>
      <c r="C58">
        <v>160</v>
      </c>
      <c r="D58" t="s">
        <v>354</v>
      </c>
      <c r="E58">
        <f t="shared" si="0"/>
        <v>6</v>
      </c>
      <c r="G58">
        <v>55</v>
      </c>
      <c r="H58">
        <f t="shared" si="11"/>
        <v>21</v>
      </c>
      <c r="I58">
        <f t="shared" si="3"/>
        <v>1</v>
      </c>
      <c r="J58">
        <f t="shared" si="4"/>
        <v>0</v>
      </c>
      <c r="K58">
        <f t="shared" si="5"/>
        <v>21</v>
      </c>
      <c r="L58">
        <f t="shared" si="12"/>
        <v>0.69835874249974861</v>
      </c>
      <c r="M58">
        <f t="shared" si="6"/>
        <v>12</v>
      </c>
      <c r="N58">
        <f t="shared" si="7"/>
        <v>0</v>
      </c>
      <c r="O58">
        <f t="shared" si="8"/>
        <v>0</v>
      </c>
      <c r="P58">
        <f t="shared" si="9"/>
        <v>12</v>
      </c>
      <c r="Q58">
        <f t="shared" si="13"/>
        <v>0.56326801984649999</v>
      </c>
      <c r="R58">
        <f t="shared" si="17"/>
        <v>0</v>
      </c>
      <c r="S58">
        <f t="shared" si="18"/>
        <v>0</v>
      </c>
      <c r="T58">
        <f t="shared" si="10"/>
        <v>0</v>
      </c>
      <c r="U58">
        <f t="shared" si="16"/>
        <v>25</v>
      </c>
      <c r="V58">
        <f t="shared" si="14"/>
        <v>0.86848886917067125</v>
      </c>
      <c r="W58">
        <f t="shared" si="15"/>
        <v>0.67445222898141788</v>
      </c>
    </row>
    <row r="59" spans="1:23" x14ac:dyDescent="0.25">
      <c r="A59" t="s">
        <v>55</v>
      </c>
      <c r="B59">
        <v>17.161999999999999</v>
      </c>
      <c r="C59">
        <v>1200</v>
      </c>
      <c r="D59" t="s">
        <v>354</v>
      </c>
      <c r="E59">
        <f t="shared" si="0"/>
        <v>40</v>
      </c>
      <c r="G59">
        <v>56</v>
      </c>
      <c r="H59">
        <f t="shared" si="11"/>
        <v>21</v>
      </c>
      <c r="I59">
        <f t="shared" si="3"/>
        <v>0</v>
      </c>
      <c r="J59">
        <f t="shared" si="4"/>
        <v>0</v>
      </c>
      <c r="K59">
        <f t="shared" si="5"/>
        <v>21</v>
      </c>
      <c r="L59">
        <f t="shared" si="12"/>
        <v>0.69835874249974861</v>
      </c>
      <c r="M59">
        <f t="shared" si="6"/>
        <v>12</v>
      </c>
      <c r="N59">
        <f t="shared" si="7"/>
        <v>0</v>
      </c>
      <c r="O59">
        <f t="shared" si="8"/>
        <v>0</v>
      </c>
      <c r="P59">
        <f t="shared" si="9"/>
        <v>12</v>
      </c>
      <c r="Q59">
        <f t="shared" si="13"/>
        <v>0.56326801984649999</v>
      </c>
      <c r="R59">
        <f t="shared" si="17"/>
        <v>0</v>
      </c>
      <c r="S59">
        <f t="shared" si="18"/>
        <v>0</v>
      </c>
      <c r="T59">
        <f t="shared" si="10"/>
        <v>0</v>
      </c>
      <c r="U59">
        <f t="shared" si="16"/>
        <v>25</v>
      </c>
      <c r="V59">
        <f t="shared" si="14"/>
        <v>0.86848886917067125</v>
      </c>
      <c r="W59">
        <f t="shared" si="15"/>
        <v>0.64947251679692086</v>
      </c>
    </row>
    <row r="60" spans="1:23" x14ac:dyDescent="0.25">
      <c r="A60" t="s">
        <v>56</v>
      </c>
      <c r="B60">
        <v>19.400400000000001</v>
      </c>
      <c r="C60">
        <v>424</v>
      </c>
      <c r="D60" t="s">
        <v>354</v>
      </c>
      <c r="E60">
        <f t="shared" si="0"/>
        <v>15</v>
      </c>
      <c r="G60">
        <v>57</v>
      </c>
      <c r="H60">
        <f t="shared" si="11"/>
        <v>21</v>
      </c>
      <c r="I60">
        <f t="shared" si="3"/>
        <v>0</v>
      </c>
      <c r="J60">
        <f t="shared" si="4"/>
        <v>0</v>
      </c>
      <c r="K60">
        <f t="shared" si="5"/>
        <v>21</v>
      </c>
      <c r="L60">
        <f t="shared" si="12"/>
        <v>0.69835874249974861</v>
      </c>
      <c r="M60">
        <f t="shared" si="6"/>
        <v>10</v>
      </c>
      <c r="N60">
        <f t="shared" si="7"/>
        <v>2</v>
      </c>
      <c r="O60">
        <f t="shared" si="8"/>
        <v>0</v>
      </c>
      <c r="P60">
        <f t="shared" si="9"/>
        <v>10</v>
      </c>
      <c r="Q60">
        <f t="shared" si="13"/>
        <v>0.56326801984649999</v>
      </c>
      <c r="R60">
        <f t="shared" si="17"/>
        <v>0</v>
      </c>
      <c r="S60">
        <f t="shared" si="18"/>
        <v>0</v>
      </c>
      <c r="T60">
        <f t="shared" si="10"/>
        <v>0</v>
      </c>
      <c r="U60">
        <f t="shared" si="16"/>
        <v>26</v>
      </c>
      <c r="V60">
        <f t="shared" si="14"/>
        <v>0.86848886917067125</v>
      </c>
      <c r="W60">
        <f t="shared" si="15"/>
        <v>0.64947251679692086</v>
      </c>
    </row>
    <row r="61" spans="1:23" x14ac:dyDescent="0.25">
      <c r="A61" t="s">
        <v>57</v>
      </c>
      <c r="B61">
        <v>151.7028</v>
      </c>
      <c r="C61">
        <v>648</v>
      </c>
      <c r="D61" t="s">
        <v>354</v>
      </c>
      <c r="E61">
        <f t="shared" si="0"/>
        <v>22</v>
      </c>
      <c r="G61">
        <v>58</v>
      </c>
      <c r="H61">
        <f t="shared" si="11"/>
        <v>20</v>
      </c>
      <c r="I61">
        <f t="shared" si="3"/>
        <v>1</v>
      </c>
      <c r="J61">
        <f t="shared" si="4"/>
        <v>0</v>
      </c>
      <c r="K61">
        <f t="shared" si="5"/>
        <v>20</v>
      </c>
      <c r="L61">
        <f t="shared" si="12"/>
        <v>0.69835874249974861</v>
      </c>
      <c r="M61">
        <f t="shared" si="6"/>
        <v>9</v>
      </c>
      <c r="N61">
        <f t="shared" si="7"/>
        <v>1</v>
      </c>
      <c r="O61">
        <f t="shared" si="8"/>
        <v>0</v>
      </c>
      <c r="P61">
        <f t="shared" si="9"/>
        <v>9</v>
      </c>
      <c r="Q61">
        <f t="shared" si="13"/>
        <v>0.56326801984649999</v>
      </c>
      <c r="R61">
        <f t="shared" si="17"/>
        <v>0</v>
      </c>
      <c r="S61">
        <f t="shared" si="18"/>
        <v>0</v>
      </c>
      <c r="T61">
        <f t="shared" si="10"/>
        <v>0</v>
      </c>
      <c r="U61">
        <f t="shared" si="16"/>
        <v>26</v>
      </c>
      <c r="V61">
        <f t="shared" si="14"/>
        <v>0.86848886917067125</v>
      </c>
      <c r="W61">
        <f t="shared" si="15"/>
        <v>0.62449280461242396</v>
      </c>
    </row>
    <row r="62" spans="1:23" x14ac:dyDescent="0.25">
      <c r="A62" t="s">
        <v>58</v>
      </c>
      <c r="B62">
        <v>211.465</v>
      </c>
      <c r="C62">
        <v>503</v>
      </c>
      <c r="D62" t="s">
        <v>354</v>
      </c>
      <c r="E62">
        <f t="shared" si="0"/>
        <v>17</v>
      </c>
      <c r="G62">
        <v>59</v>
      </c>
      <c r="H62">
        <f t="shared" si="11"/>
        <v>20</v>
      </c>
      <c r="I62">
        <f t="shared" si="3"/>
        <v>0</v>
      </c>
      <c r="J62">
        <f t="shared" si="4"/>
        <v>0</v>
      </c>
      <c r="K62">
        <f t="shared" si="5"/>
        <v>20</v>
      </c>
      <c r="L62">
        <f t="shared" si="12"/>
        <v>0.69835874249974861</v>
      </c>
      <c r="M62">
        <f t="shared" si="6"/>
        <v>9</v>
      </c>
      <c r="N62">
        <f t="shared" si="7"/>
        <v>0</v>
      </c>
      <c r="O62">
        <f t="shared" si="8"/>
        <v>0</v>
      </c>
      <c r="P62">
        <f t="shared" si="9"/>
        <v>9</v>
      </c>
      <c r="Q62">
        <f t="shared" si="13"/>
        <v>0.56326801984649999</v>
      </c>
      <c r="R62">
        <f t="shared" si="17"/>
        <v>0</v>
      </c>
      <c r="S62">
        <f t="shared" si="18"/>
        <v>0</v>
      </c>
      <c r="T62">
        <f t="shared" si="10"/>
        <v>0</v>
      </c>
      <c r="U62">
        <f t="shared" si="16"/>
        <v>27</v>
      </c>
      <c r="V62">
        <f t="shared" si="14"/>
        <v>0.86848886917067125</v>
      </c>
      <c r="W62">
        <f t="shared" si="15"/>
        <v>0.62449280461242396</v>
      </c>
    </row>
    <row r="63" spans="1:23" x14ac:dyDescent="0.25">
      <c r="A63" t="s">
        <v>59</v>
      </c>
      <c r="B63">
        <v>223.7852</v>
      </c>
      <c r="C63">
        <v>523</v>
      </c>
      <c r="D63" t="s">
        <v>354</v>
      </c>
      <c r="E63">
        <f t="shared" si="0"/>
        <v>18</v>
      </c>
      <c r="G63">
        <v>60</v>
      </c>
      <c r="H63">
        <f t="shared" si="11"/>
        <v>20</v>
      </c>
      <c r="I63">
        <f t="shared" si="3"/>
        <v>0</v>
      </c>
      <c r="J63">
        <f t="shared" si="4"/>
        <v>0</v>
      </c>
      <c r="K63">
        <f t="shared" si="5"/>
        <v>20</v>
      </c>
      <c r="L63">
        <f t="shared" si="12"/>
        <v>0.69835874249974861</v>
      </c>
      <c r="M63">
        <f t="shared" si="6"/>
        <v>9</v>
      </c>
      <c r="N63">
        <f t="shared" si="7"/>
        <v>0</v>
      </c>
      <c r="O63">
        <f t="shared" si="8"/>
        <v>0</v>
      </c>
      <c r="P63">
        <f t="shared" si="9"/>
        <v>9</v>
      </c>
      <c r="Q63">
        <f t="shared" si="13"/>
        <v>0.56326801984649999</v>
      </c>
      <c r="R63">
        <f t="shared" si="17"/>
        <v>0</v>
      </c>
      <c r="S63">
        <f t="shared" si="18"/>
        <v>0</v>
      </c>
      <c r="T63">
        <f t="shared" si="10"/>
        <v>0</v>
      </c>
      <c r="U63">
        <f t="shared" si="16"/>
        <v>27</v>
      </c>
      <c r="V63">
        <f t="shared" si="14"/>
        <v>0.85001038259257189</v>
      </c>
      <c r="W63">
        <f t="shared" si="15"/>
        <v>0.62449280461242396</v>
      </c>
    </row>
    <row r="64" spans="1:23" x14ac:dyDescent="0.25">
      <c r="A64" t="s">
        <v>60</v>
      </c>
      <c r="B64">
        <v>7.0128000000000004</v>
      </c>
      <c r="C64">
        <v>515</v>
      </c>
      <c r="D64" t="s">
        <v>354</v>
      </c>
      <c r="E64">
        <f t="shared" si="0"/>
        <v>18</v>
      </c>
      <c r="G64">
        <v>61</v>
      </c>
      <c r="H64">
        <f t="shared" si="11"/>
        <v>19</v>
      </c>
      <c r="I64">
        <f t="shared" si="3"/>
        <v>1</v>
      </c>
      <c r="J64">
        <f t="shared" si="4"/>
        <v>0</v>
      </c>
      <c r="K64">
        <f t="shared" si="5"/>
        <v>19</v>
      </c>
      <c r="L64">
        <f t="shared" si="12"/>
        <v>0.69835874249974861</v>
      </c>
      <c r="M64">
        <f t="shared" si="6"/>
        <v>9</v>
      </c>
      <c r="N64">
        <f t="shared" si="7"/>
        <v>0</v>
      </c>
      <c r="O64">
        <f t="shared" si="8"/>
        <v>0</v>
      </c>
      <c r="P64">
        <f t="shared" si="9"/>
        <v>9</v>
      </c>
      <c r="Q64">
        <f t="shared" si="13"/>
        <v>0.56326801984649999</v>
      </c>
      <c r="R64">
        <f t="shared" si="17"/>
        <v>0</v>
      </c>
      <c r="S64">
        <f t="shared" si="18"/>
        <v>0</v>
      </c>
      <c r="T64">
        <f t="shared" si="10"/>
        <v>0</v>
      </c>
      <c r="U64">
        <f t="shared" si="16"/>
        <v>28</v>
      </c>
      <c r="V64">
        <f t="shared" si="14"/>
        <v>0.85001038259257189</v>
      </c>
      <c r="W64">
        <f t="shared" si="15"/>
        <v>0.62449280461242396</v>
      </c>
    </row>
    <row r="65" spans="1:23" x14ac:dyDescent="0.25">
      <c r="A65" t="s">
        <v>61</v>
      </c>
      <c r="B65">
        <v>40.1417</v>
      </c>
      <c r="C65">
        <v>447</v>
      </c>
      <c r="D65" t="s">
        <v>354</v>
      </c>
      <c r="E65">
        <f t="shared" si="0"/>
        <v>15</v>
      </c>
      <c r="G65">
        <v>62</v>
      </c>
      <c r="H65">
        <f t="shared" si="11"/>
        <v>18</v>
      </c>
      <c r="I65">
        <f t="shared" si="3"/>
        <v>1</v>
      </c>
      <c r="J65">
        <f t="shared" si="4"/>
        <v>1</v>
      </c>
      <c r="K65">
        <f t="shared" si="5"/>
        <v>17</v>
      </c>
      <c r="L65">
        <f t="shared" si="12"/>
        <v>0.65956103458309601</v>
      </c>
      <c r="M65">
        <f t="shared" si="6"/>
        <v>9</v>
      </c>
      <c r="N65">
        <f t="shared" si="7"/>
        <v>0</v>
      </c>
      <c r="O65">
        <f t="shared" si="8"/>
        <v>0</v>
      </c>
      <c r="P65">
        <f t="shared" si="9"/>
        <v>9</v>
      </c>
      <c r="Q65">
        <f t="shared" si="13"/>
        <v>0.56326801984649999</v>
      </c>
      <c r="R65">
        <f t="shared" si="17"/>
        <v>3.7037037037037035E-2</v>
      </c>
      <c r="S65">
        <f t="shared" si="18"/>
        <v>0.66666666666666663</v>
      </c>
      <c r="T65">
        <f t="shared" si="10"/>
        <v>0.33333333333333331</v>
      </c>
      <c r="U65">
        <f t="shared" si="16"/>
        <v>28</v>
      </c>
      <c r="V65">
        <f t="shared" si="14"/>
        <v>0.85001038259257189</v>
      </c>
      <c r="W65">
        <f t="shared" si="15"/>
        <v>0.62449280461242396</v>
      </c>
    </row>
    <row r="66" spans="1:23" x14ac:dyDescent="0.25">
      <c r="A66" t="s">
        <v>62</v>
      </c>
      <c r="B66">
        <v>2.1257999999999999</v>
      </c>
      <c r="C66">
        <v>541</v>
      </c>
      <c r="D66" t="s">
        <v>354</v>
      </c>
      <c r="E66">
        <f t="shared" si="0"/>
        <v>19</v>
      </c>
      <c r="G66">
        <v>63</v>
      </c>
      <c r="H66">
        <f t="shared" si="11"/>
        <v>17</v>
      </c>
      <c r="I66">
        <f t="shared" si="3"/>
        <v>0</v>
      </c>
      <c r="J66">
        <f t="shared" si="4"/>
        <v>0</v>
      </c>
      <c r="K66">
        <f t="shared" si="5"/>
        <v>17</v>
      </c>
      <c r="L66">
        <f t="shared" si="12"/>
        <v>0.65956103458309601</v>
      </c>
      <c r="M66">
        <f t="shared" si="6"/>
        <v>8</v>
      </c>
      <c r="N66">
        <f t="shared" si="7"/>
        <v>1</v>
      </c>
      <c r="O66">
        <f t="shared" si="8"/>
        <v>1</v>
      </c>
      <c r="P66">
        <f t="shared" si="9"/>
        <v>7</v>
      </c>
      <c r="Q66">
        <f t="shared" si="13"/>
        <v>0.49285951736568751</v>
      </c>
      <c r="R66">
        <f t="shared" si="17"/>
        <v>0.04</v>
      </c>
      <c r="S66">
        <f t="shared" si="18"/>
        <v>0.68</v>
      </c>
      <c r="T66">
        <f t="shared" si="10"/>
        <v>0.32</v>
      </c>
      <c r="U66">
        <f t="shared" si="16"/>
        <v>29</v>
      </c>
      <c r="V66">
        <f t="shared" si="14"/>
        <v>0.85001038259257189</v>
      </c>
      <c r="W66">
        <f t="shared" si="15"/>
        <v>0.62449280461242396</v>
      </c>
    </row>
    <row r="67" spans="1:23" x14ac:dyDescent="0.25">
      <c r="A67" t="s">
        <v>63</v>
      </c>
      <c r="B67">
        <v>56.199300000000001</v>
      </c>
      <c r="C67">
        <v>437</v>
      </c>
      <c r="D67" t="s">
        <v>354</v>
      </c>
      <c r="E67">
        <f t="shared" ref="E67:E130" si="19">INT((C67-1)/30)+1</f>
        <v>15</v>
      </c>
      <c r="G67">
        <v>64</v>
      </c>
      <c r="H67">
        <f t="shared" si="11"/>
        <v>17</v>
      </c>
      <c r="I67">
        <f t="shared" si="3"/>
        <v>0</v>
      </c>
      <c r="J67">
        <f t="shared" si="4"/>
        <v>0</v>
      </c>
      <c r="K67">
        <f t="shared" si="5"/>
        <v>17</v>
      </c>
      <c r="L67">
        <f t="shared" si="12"/>
        <v>0.65956103458309601</v>
      </c>
      <c r="M67">
        <f t="shared" si="6"/>
        <v>7</v>
      </c>
      <c r="N67">
        <f t="shared" si="7"/>
        <v>0</v>
      </c>
      <c r="O67">
        <f t="shared" si="8"/>
        <v>1</v>
      </c>
      <c r="P67">
        <f t="shared" si="9"/>
        <v>6</v>
      </c>
      <c r="Q67">
        <f t="shared" si="13"/>
        <v>0.42245101488487496</v>
      </c>
      <c r="R67">
        <f t="shared" ref="R67:R98" si="20">SUM(J67,O67)/SUM(H67, M67)</f>
        <v>4.1666666666666664E-2</v>
      </c>
      <c r="S67">
        <f t="shared" ref="S67:S98" si="21">H67 * R67</f>
        <v>0.70833333333333326</v>
      </c>
      <c r="T67">
        <f t="shared" si="10"/>
        <v>0.29166666666666663</v>
      </c>
      <c r="U67">
        <f t="shared" si="16"/>
        <v>29</v>
      </c>
      <c r="V67">
        <f t="shared" si="14"/>
        <v>0.83112126297940359</v>
      </c>
      <c r="W67">
        <f t="shared" si="15"/>
        <v>0.62449280461242396</v>
      </c>
    </row>
    <row r="68" spans="1:23" x14ac:dyDescent="0.25">
      <c r="A68" t="s">
        <v>64</v>
      </c>
      <c r="B68">
        <v>44.028599999999997</v>
      </c>
      <c r="C68">
        <v>595</v>
      </c>
      <c r="D68" t="s">
        <v>354</v>
      </c>
      <c r="E68">
        <f t="shared" si="19"/>
        <v>20</v>
      </c>
      <c r="G68">
        <v>65</v>
      </c>
      <c r="H68">
        <f t="shared" si="11"/>
        <v>17</v>
      </c>
      <c r="I68">
        <f t="shared" ref="I68:I105" si="22">COUNTIFS(B$2:B$380,"&lt;"&amp;F$2, D$2:D$380,"censored",E$2:E$380, G68)</f>
        <v>0</v>
      </c>
      <c r="J68">
        <f t="shared" ref="J68:J105" si="23">COUNTIFS(B$2:B$380,"&lt;"&amp;F$2,D$2:D$380,"=dead",E$2:E$380,"="&amp;G68)</f>
        <v>0</v>
      </c>
      <c r="K68">
        <f t="shared" ref="K68:K105" si="24">H68-J68</f>
        <v>17</v>
      </c>
      <c r="L68">
        <f t="shared" si="12"/>
        <v>0.65956103458309601</v>
      </c>
      <c r="M68">
        <f t="shared" ref="M68:M105" si="25">COUNTIFS(B$2:B$380,"&gt;"&amp;$F$2,E$2:E$380,"&gt;="&amp;G68)-N68</f>
        <v>6</v>
      </c>
      <c r="N68">
        <f t="shared" ref="N68:N105" si="26">COUNTIFS(B$2:B$380,"&gt;"&amp;F$2, D$2:D$380,"censored",E$2:E$380,G68)</f>
        <v>0</v>
      </c>
      <c r="O68">
        <f t="shared" ref="O68:O105" si="27">COUNTIFS(B$2:B$380,"&gt;"&amp;F$2,D$2:D$380,"dead",E$2:E$380, G68)</f>
        <v>0</v>
      </c>
      <c r="P68">
        <f t="shared" ref="P68:P105" si="28">M68-O68</f>
        <v>6</v>
      </c>
      <c r="Q68">
        <f t="shared" si="13"/>
        <v>0.42245101488487496</v>
      </c>
      <c r="R68">
        <f t="shared" si="20"/>
        <v>0</v>
      </c>
      <c r="S68">
        <f t="shared" si="21"/>
        <v>0</v>
      </c>
      <c r="T68">
        <f t="shared" ref="T68:T105" si="29">M68 * R68</f>
        <v>0</v>
      </c>
      <c r="U68">
        <f t="shared" si="16"/>
        <v>30</v>
      </c>
      <c r="V68">
        <f t="shared" si="14"/>
        <v>0.83112126297940359</v>
      </c>
      <c r="W68">
        <f t="shared" si="15"/>
        <v>0.62449280461242396</v>
      </c>
    </row>
    <row r="69" spans="1:23" x14ac:dyDescent="0.25">
      <c r="A69" t="s">
        <v>65</v>
      </c>
      <c r="B69">
        <v>82.959599999999995</v>
      </c>
      <c r="C69">
        <v>522</v>
      </c>
      <c r="D69" t="s">
        <v>354</v>
      </c>
      <c r="E69">
        <f t="shared" si="19"/>
        <v>18</v>
      </c>
      <c r="G69">
        <v>66</v>
      </c>
      <c r="H69">
        <f t="shared" ref="H69:H105" si="30">COUNTIFS(B$2:B$380,"&lt;"&amp;$F$2,E$2:E$380,"&gt;="&amp;G69)-I69</f>
        <v>17</v>
      </c>
      <c r="I69">
        <f t="shared" si="22"/>
        <v>0</v>
      </c>
      <c r="J69">
        <f t="shared" si="23"/>
        <v>0</v>
      </c>
      <c r="K69">
        <f t="shared" si="24"/>
        <v>17</v>
      </c>
      <c r="L69">
        <f t="shared" ref="L69:L105" si="31">L68 * K69 / H69</f>
        <v>0.65956103458309601</v>
      </c>
      <c r="M69">
        <f t="shared" si="25"/>
        <v>6</v>
      </c>
      <c r="N69">
        <f t="shared" si="26"/>
        <v>0</v>
      </c>
      <c r="O69">
        <f t="shared" si="27"/>
        <v>0</v>
      </c>
      <c r="P69">
        <f t="shared" si="28"/>
        <v>6</v>
      </c>
      <c r="Q69">
        <f t="shared" ref="Q69:Q105" si="32">Q68 * P69 / M69</f>
        <v>0.42245101488487496</v>
      </c>
      <c r="R69">
        <f t="shared" si="20"/>
        <v>0</v>
      </c>
      <c r="S69">
        <f t="shared" si="21"/>
        <v>0</v>
      </c>
      <c r="T69">
        <f t="shared" si="29"/>
        <v>0</v>
      </c>
      <c r="U69">
        <f t="shared" si="16"/>
        <v>30</v>
      </c>
      <c r="V69">
        <f t="shared" si="14"/>
        <v>0.83112126297940359</v>
      </c>
      <c r="W69">
        <f t="shared" si="15"/>
        <v>0.59847227108690626</v>
      </c>
    </row>
    <row r="70" spans="1:23" x14ac:dyDescent="0.25">
      <c r="A70" t="s">
        <v>66</v>
      </c>
      <c r="B70">
        <v>26.605499999999999</v>
      </c>
      <c r="C70">
        <v>552</v>
      </c>
      <c r="D70" t="s">
        <v>354</v>
      </c>
      <c r="E70">
        <f t="shared" si="19"/>
        <v>19</v>
      </c>
      <c r="G70">
        <v>67</v>
      </c>
      <c r="H70">
        <f t="shared" si="30"/>
        <v>17</v>
      </c>
      <c r="I70">
        <f t="shared" si="22"/>
        <v>0</v>
      </c>
      <c r="J70">
        <f t="shared" si="23"/>
        <v>0</v>
      </c>
      <c r="K70">
        <f t="shared" si="24"/>
        <v>17</v>
      </c>
      <c r="L70">
        <f t="shared" si="31"/>
        <v>0.65956103458309601</v>
      </c>
      <c r="M70">
        <f t="shared" si="25"/>
        <v>6</v>
      </c>
      <c r="N70">
        <f t="shared" si="26"/>
        <v>0</v>
      </c>
      <c r="O70">
        <f t="shared" si="27"/>
        <v>0</v>
      </c>
      <c r="P70">
        <f t="shared" si="28"/>
        <v>6</v>
      </c>
      <c r="Q70">
        <f t="shared" si="32"/>
        <v>0.42245101488487496</v>
      </c>
      <c r="R70">
        <f t="shared" si="20"/>
        <v>0</v>
      </c>
      <c r="S70">
        <f t="shared" si="21"/>
        <v>0</v>
      </c>
      <c r="T70">
        <f t="shared" si="29"/>
        <v>0</v>
      </c>
      <c r="U70">
        <f t="shared" si="16"/>
        <v>31</v>
      </c>
      <c r="V70">
        <f t="shared" si="14"/>
        <v>0.83112126297940359</v>
      </c>
      <c r="W70">
        <f t="shared" si="15"/>
        <v>0.59847227108690626</v>
      </c>
    </row>
    <row r="71" spans="1:23" x14ac:dyDescent="0.25">
      <c r="A71" t="s">
        <v>67</v>
      </c>
      <c r="B71">
        <v>8.0906000000000002</v>
      </c>
      <c r="C71">
        <v>472</v>
      </c>
      <c r="D71" t="s">
        <v>354</v>
      </c>
      <c r="E71">
        <f t="shared" si="19"/>
        <v>16</v>
      </c>
      <c r="G71">
        <v>68</v>
      </c>
      <c r="H71">
        <f t="shared" si="30"/>
        <v>17</v>
      </c>
      <c r="I71">
        <f t="shared" si="22"/>
        <v>0</v>
      </c>
      <c r="J71">
        <f t="shared" si="23"/>
        <v>0</v>
      </c>
      <c r="K71">
        <f t="shared" si="24"/>
        <v>17</v>
      </c>
      <c r="L71">
        <f t="shared" si="31"/>
        <v>0.65956103458309601</v>
      </c>
      <c r="M71">
        <f t="shared" si="25"/>
        <v>5</v>
      </c>
      <c r="N71">
        <f t="shared" si="26"/>
        <v>1</v>
      </c>
      <c r="O71">
        <f t="shared" si="27"/>
        <v>0</v>
      </c>
      <c r="P71">
        <f t="shared" si="28"/>
        <v>5</v>
      </c>
      <c r="Q71">
        <f t="shared" si="32"/>
        <v>0.42245101488487496</v>
      </c>
      <c r="R71">
        <f t="shared" si="20"/>
        <v>0</v>
      </c>
      <c r="S71">
        <f t="shared" si="21"/>
        <v>0</v>
      </c>
      <c r="T71">
        <f t="shared" si="29"/>
        <v>0</v>
      </c>
      <c r="U71">
        <f t="shared" si="16"/>
        <v>31</v>
      </c>
      <c r="V71">
        <f t="shared" si="14"/>
        <v>0.83112126297940359</v>
      </c>
      <c r="W71">
        <f t="shared" si="15"/>
        <v>0.59847227108690626</v>
      </c>
    </row>
    <row r="72" spans="1:23" x14ac:dyDescent="0.25">
      <c r="A72" t="s">
        <v>68</v>
      </c>
      <c r="B72">
        <v>93.667299999999997</v>
      </c>
      <c r="C72">
        <v>387</v>
      </c>
      <c r="D72" t="s">
        <v>354</v>
      </c>
      <c r="E72">
        <f t="shared" si="19"/>
        <v>13</v>
      </c>
      <c r="G72">
        <v>69</v>
      </c>
      <c r="H72">
        <f t="shared" si="30"/>
        <v>17</v>
      </c>
      <c r="I72">
        <f t="shared" si="22"/>
        <v>0</v>
      </c>
      <c r="J72">
        <f t="shared" si="23"/>
        <v>0</v>
      </c>
      <c r="K72">
        <f t="shared" si="24"/>
        <v>17</v>
      </c>
      <c r="L72">
        <f t="shared" si="31"/>
        <v>0.65956103458309601</v>
      </c>
      <c r="M72">
        <f t="shared" si="25"/>
        <v>5</v>
      </c>
      <c r="N72">
        <f t="shared" si="26"/>
        <v>0</v>
      </c>
      <c r="O72">
        <f t="shared" si="27"/>
        <v>0</v>
      </c>
      <c r="P72">
        <f t="shared" si="28"/>
        <v>5</v>
      </c>
      <c r="Q72">
        <f t="shared" si="32"/>
        <v>0.42245101488487496</v>
      </c>
      <c r="R72">
        <f t="shared" si="20"/>
        <v>0</v>
      </c>
      <c r="S72">
        <f t="shared" si="21"/>
        <v>0</v>
      </c>
      <c r="T72">
        <f t="shared" si="29"/>
        <v>0</v>
      </c>
      <c r="U72">
        <f t="shared" si="16"/>
        <v>32</v>
      </c>
      <c r="V72">
        <f t="shared" si="14"/>
        <v>0.83112126297940359</v>
      </c>
      <c r="W72">
        <f t="shared" si="15"/>
        <v>0.59847227108690626</v>
      </c>
    </row>
    <row r="73" spans="1:23" x14ac:dyDescent="0.25">
      <c r="A73" t="s">
        <v>68</v>
      </c>
      <c r="B73">
        <v>79.768799999999999</v>
      </c>
      <c r="C73">
        <v>387</v>
      </c>
      <c r="D73" t="s">
        <v>354</v>
      </c>
      <c r="E73">
        <f t="shared" si="19"/>
        <v>13</v>
      </c>
      <c r="G73">
        <v>70</v>
      </c>
      <c r="H73">
        <f t="shared" si="30"/>
        <v>16</v>
      </c>
      <c r="I73">
        <f t="shared" si="22"/>
        <v>1</v>
      </c>
      <c r="J73">
        <f t="shared" si="23"/>
        <v>0</v>
      </c>
      <c r="K73">
        <f t="shared" si="24"/>
        <v>16</v>
      </c>
      <c r="L73">
        <f t="shared" si="31"/>
        <v>0.65956103458309601</v>
      </c>
      <c r="M73">
        <f t="shared" si="25"/>
        <v>5</v>
      </c>
      <c r="N73">
        <f t="shared" si="26"/>
        <v>0</v>
      </c>
      <c r="O73">
        <f t="shared" si="27"/>
        <v>0</v>
      </c>
      <c r="P73">
        <f t="shared" si="28"/>
        <v>5</v>
      </c>
      <c r="Q73">
        <f t="shared" si="32"/>
        <v>0.42245101488487496</v>
      </c>
      <c r="R73">
        <f t="shared" si="20"/>
        <v>0</v>
      </c>
      <c r="S73">
        <f t="shared" si="21"/>
        <v>0</v>
      </c>
      <c r="T73">
        <f t="shared" si="29"/>
        <v>0</v>
      </c>
      <c r="U73">
        <f t="shared" si="16"/>
        <v>32</v>
      </c>
      <c r="V73">
        <f t="shared" si="14"/>
        <v>0.83112126297940359</v>
      </c>
      <c r="W73">
        <f t="shared" si="15"/>
        <v>0.59847227108690626</v>
      </c>
    </row>
    <row r="74" spans="1:23" x14ac:dyDescent="0.25">
      <c r="A74" t="s">
        <v>69</v>
      </c>
      <c r="B74">
        <v>12.3711</v>
      </c>
      <c r="C74">
        <v>464</v>
      </c>
      <c r="D74" t="s">
        <v>354</v>
      </c>
      <c r="E74">
        <f t="shared" si="19"/>
        <v>16</v>
      </c>
      <c r="G74">
        <v>71</v>
      </c>
      <c r="H74">
        <f t="shared" si="30"/>
        <v>16</v>
      </c>
      <c r="I74">
        <f t="shared" si="22"/>
        <v>0</v>
      </c>
      <c r="J74">
        <f t="shared" si="23"/>
        <v>0</v>
      </c>
      <c r="K74">
        <f t="shared" si="24"/>
        <v>16</v>
      </c>
      <c r="L74">
        <f t="shared" si="31"/>
        <v>0.65956103458309601</v>
      </c>
      <c r="M74">
        <f t="shared" si="25"/>
        <v>5</v>
      </c>
      <c r="N74">
        <f t="shared" si="26"/>
        <v>0</v>
      </c>
      <c r="O74">
        <f t="shared" si="27"/>
        <v>0</v>
      </c>
      <c r="P74">
        <f t="shared" si="28"/>
        <v>5</v>
      </c>
      <c r="Q74">
        <f t="shared" si="32"/>
        <v>0.42245101488487496</v>
      </c>
      <c r="R74">
        <f t="shared" si="20"/>
        <v>0</v>
      </c>
      <c r="S74">
        <f t="shared" si="21"/>
        <v>0</v>
      </c>
      <c r="T74">
        <f t="shared" si="29"/>
        <v>0</v>
      </c>
      <c r="U74">
        <f t="shared" si="16"/>
        <v>33</v>
      </c>
      <c r="V74">
        <f t="shared" si="14"/>
        <v>0.83112126297940359</v>
      </c>
      <c r="W74">
        <f t="shared" si="15"/>
        <v>0.59847227108690626</v>
      </c>
    </row>
    <row r="75" spans="1:23" x14ac:dyDescent="0.25">
      <c r="A75" t="s">
        <v>69</v>
      </c>
      <c r="B75">
        <v>23.822900000000001</v>
      </c>
      <c r="C75">
        <v>464</v>
      </c>
      <c r="D75" t="s">
        <v>354</v>
      </c>
      <c r="E75">
        <f t="shared" si="19"/>
        <v>16</v>
      </c>
      <c r="G75">
        <v>72</v>
      </c>
      <c r="H75">
        <f t="shared" si="30"/>
        <v>16</v>
      </c>
      <c r="I75">
        <f t="shared" si="22"/>
        <v>0</v>
      </c>
      <c r="J75">
        <f t="shared" si="23"/>
        <v>0</v>
      </c>
      <c r="K75">
        <f t="shared" si="24"/>
        <v>16</v>
      </c>
      <c r="L75">
        <f t="shared" si="31"/>
        <v>0.65956103458309601</v>
      </c>
      <c r="M75">
        <f t="shared" si="25"/>
        <v>5</v>
      </c>
      <c r="N75">
        <f t="shared" si="26"/>
        <v>0</v>
      </c>
      <c r="O75">
        <f t="shared" si="27"/>
        <v>0</v>
      </c>
      <c r="P75">
        <f t="shared" si="28"/>
        <v>5</v>
      </c>
      <c r="Q75">
        <f t="shared" si="32"/>
        <v>0.42245101488487496</v>
      </c>
      <c r="R75">
        <f t="shared" si="20"/>
        <v>0</v>
      </c>
      <c r="S75">
        <f t="shared" si="21"/>
        <v>0</v>
      </c>
      <c r="T75">
        <f t="shared" si="29"/>
        <v>0</v>
      </c>
      <c r="U75">
        <f t="shared" si="16"/>
        <v>33</v>
      </c>
      <c r="V75">
        <f t="shared" ref="V75:V138" si="33">IF(U75&gt;U74, V74, LOOKUP(U75, $G$3:$G$105, $L$3:$L$105))</f>
        <v>0.83112126297940359</v>
      </c>
      <c r="W75">
        <f t="shared" ref="W75:W138" si="34">IF(U75&gt;U74, W74, LOOKUP(U75, $G$3:$G$105, $Q$3:$Q$105))</f>
        <v>0.59847227108690626</v>
      </c>
    </row>
    <row r="76" spans="1:23" x14ac:dyDescent="0.25">
      <c r="A76" t="s">
        <v>70</v>
      </c>
      <c r="B76">
        <v>43.881</v>
      </c>
      <c r="C76">
        <v>488</v>
      </c>
      <c r="D76" t="s">
        <v>354</v>
      </c>
      <c r="E76">
        <f t="shared" si="19"/>
        <v>17</v>
      </c>
      <c r="G76">
        <v>73</v>
      </c>
      <c r="H76">
        <f t="shared" si="30"/>
        <v>15</v>
      </c>
      <c r="I76">
        <f t="shared" si="22"/>
        <v>1</v>
      </c>
      <c r="J76">
        <f t="shared" si="23"/>
        <v>0</v>
      </c>
      <c r="K76">
        <f t="shared" si="24"/>
        <v>15</v>
      </c>
      <c r="L76">
        <f t="shared" si="31"/>
        <v>0.65956103458309601</v>
      </c>
      <c r="M76">
        <f t="shared" si="25"/>
        <v>5</v>
      </c>
      <c r="N76">
        <f t="shared" si="26"/>
        <v>0</v>
      </c>
      <c r="O76">
        <f t="shared" si="27"/>
        <v>0</v>
      </c>
      <c r="P76">
        <f t="shared" si="28"/>
        <v>5</v>
      </c>
      <c r="Q76">
        <f t="shared" si="32"/>
        <v>0.42245101488487496</v>
      </c>
      <c r="R76">
        <f t="shared" si="20"/>
        <v>0</v>
      </c>
      <c r="S76">
        <f t="shared" si="21"/>
        <v>0</v>
      </c>
      <c r="T76">
        <f t="shared" si="29"/>
        <v>0</v>
      </c>
      <c r="U76">
        <f t="shared" ref="U76:U139" si="35">IF(U75&gt;U74, U75, U75+1)</f>
        <v>34</v>
      </c>
      <c r="V76">
        <f t="shared" si="33"/>
        <v>0.83112126297940359</v>
      </c>
      <c r="W76">
        <f t="shared" si="34"/>
        <v>0.59847227108690626</v>
      </c>
    </row>
    <row r="77" spans="1:23" x14ac:dyDescent="0.25">
      <c r="A77" t="s">
        <v>71</v>
      </c>
      <c r="B77">
        <v>34.865299999999998</v>
      </c>
      <c r="C77">
        <v>333</v>
      </c>
      <c r="D77" t="s">
        <v>354</v>
      </c>
      <c r="E77">
        <f t="shared" si="19"/>
        <v>12</v>
      </c>
      <c r="G77">
        <v>74</v>
      </c>
      <c r="H77">
        <f t="shared" si="30"/>
        <v>15</v>
      </c>
      <c r="I77">
        <f t="shared" si="22"/>
        <v>0</v>
      </c>
      <c r="J77">
        <f t="shared" si="23"/>
        <v>0</v>
      </c>
      <c r="K77">
        <f t="shared" si="24"/>
        <v>15</v>
      </c>
      <c r="L77">
        <f t="shared" si="31"/>
        <v>0.65956103458309601</v>
      </c>
      <c r="M77">
        <f t="shared" si="25"/>
        <v>5</v>
      </c>
      <c r="N77">
        <f t="shared" si="26"/>
        <v>0</v>
      </c>
      <c r="O77">
        <f t="shared" si="27"/>
        <v>0</v>
      </c>
      <c r="P77">
        <f t="shared" si="28"/>
        <v>5</v>
      </c>
      <c r="Q77">
        <f t="shared" si="32"/>
        <v>0.42245101488487496</v>
      </c>
      <c r="R77">
        <f t="shared" si="20"/>
        <v>0</v>
      </c>
      <c r="S77">
        <f t="shared" si="21"/>
        <v>0</v>
      </c>
      <c r="T77">
        <f t="shared" si="29"/>
        <v>0</v>
      </c>
      <c r="U77">
        <f t="shared" si="35"/>
        <v>34</v>
      </c>
      <c r="V77">
        <f t="shared" si="33"/>
        <v>0.83112126297940359</v>
      </c>
      <c r="W77">
        <f t="shared" si="34"/>
        <v>0.59847227108690626</v>
      </c>
    </row>
    <row r="78" spans="1:23" x14ac:dyDescent="0.25">
      <c r="A78" t="s">
        <v>72</v>
      </c>
      <c r="B78">
        <v>100.4785</v>
      </c>
      <c r="C78">
        <v>279</v>
      </c>
      <c r="D78" t="s">
        <v>354</v>
      </c>
      <c r="E78">
        <f t="shared" si="19"/>
        <v>10</v>
      </c>
      <c r="G78">
        <v>75</v>
      </c>
      <c r="H78">
        <f t="shared" si="30"/>
        <v>15</v>
      </c>
      <c r="I78">
        <f t="shared" si="22"/>
        <v>0</v>
      </c>
      <c r="J78">
        <f t="shared" si="23"/>
        <v>0</v>
      </c>
      <c r="K78">
        <f t="shared" si="24"/>
        <v>15</v>
      </c>
      <c r="L78">
        <f t="shared" si="31"/>
        <v>0.65956103458309601</v>
      </c>
      <c r="M78">
        <f t="shared" si="25"/>
        <v>5</v>
      </c>
      <c r="N78">
        <f t="shared" si="26"/>
        <v>0</v>
      </c>
      <c r="O78">
        <f t="shared" si="27"/>
        <v>0</v>
      </c>
      <c r="P78">
        <f t="shared" si="28"/>
        <v>5</v>
      </c>
      <c r="Q78">
        <f t="shared" si="32"/>
        <v>0.42245101488487496</v>
      </c>
      <c r="R78">
        <f t="shared" si="20"/>
        <v>0</v>
      </c>
      <c r="S78">
        <f t="shared" si="21"/>
        <v>0</v>
      </c>
      <c r="T78">
        <f t="shared" si="29"/>
        <v>0</v>
      </c>
      <c r="U78">
        <f t="shared" si="35"/>
        <v>35</v>
      </c>
      <c r="V78">
        <f t="shared" si="33"/>
        <v>0.83112126297940359</v>
      </c>
      <c r="W78">
        <f t="shared" si="34"/>
        <v>0.59847227108690626</v>
      </c>
    </row>
    <row r="79" spans="1:23" x14ac:dyDescent="0.25">
      <c r="A79" t="s">
        <v>73</v>
      </c>
      <c r="B79">
        <v>67.938000000000002</v>
      </c>
      <c r="C79">
        <v>314</v>
      </c>
      <c r="D79" t="s">
        <v>354</v>
      </c>
      <c r="E79">
        <f t="shared" si="19"/>
        <v>11</v>
      </c>
      <c r="G79">
        <v>76</v>
      </c>
      <c r="H79">
        <f t="shared" si="30"/>
        <v>15</v>
      </c>
      <c r="I79">
        <f t="shared" si="22"/>
        <v>0</v>
      </c>
      <c r="J79">
        <f t="shared" si="23"/>
        <v>0</v>
      </c>
      <c r="K79">
        <f t="shared" si="24"/>
        <v>15</v>
      </c>
      <c r="L79">
        <f t="shared" si="31"/>
        <v>0.65956103458309601</v>
      </c>
      <c r="M79">
        <f t="shared" si="25"/>
        <v>5</v>
      </c>
      <c r="N79">
        <f t="shared" si="26"/>
        <v>0</v>
      </c>
      <c r="O79">
        <f t="shared" si="27"/>
        <v>0</v>
      </c>
      <c r="P79">
        <f t="shared" si="28"/>
        <v>5</v>
      </c>
      <c r="Q79">
        <f t="shared" si="32"/>
        <v>0.42245101488487496</v>
      </c>
      <c r="R79">
        <f t="shared" si="20"/>
        <v>0</v>
      </c>
      <c r="S79">
        <f t="shared" si="21"/>
        <v>0</v>
      </c>
      <c r="T79">
        <f t="shared" si="29"/>
        <v>0</v>
      </c>
      <c r="U79">
        <f t="shared" si="35"/>
        <v>35</v>
      </c>
      <c r="V79">
        <f t="shared" si="33"/>
        <v>0.83112126297940359</v>
      </c>
      <c r="W79">
        <f t="shared" si="34"/>
        <v>0.59847227108690626</v>
      </c>
    </row>
    <row r="80" spans="1:23" x14ac:dyDescent="0.25">
      <c r="A80" t="s">
        <v>74</v>
      </c>
      <c r="B80">
        <v>283.04820000000001</v>
      </c>
      <c r="C80">
        <v>247</v>
      </c>
      <c r="D80" t="s">
        <v>354</v>
      </c>
      <c r="E80">
        <f t="shared" si="19"/>
        <v>9</v>
      </c>
      <c r="G80">
        <v>77</v>
      </c>
      <c r="H80">
        <f t="shared" si="30"/>
        <v>15</v>
      </c>
      <c r="I80">
        <f t="shared" si="22"/>
        <v>0</v>
      </c>
      <c r="J80">
        <f t="shared" si="23"/>
        <v>0</v>
      </c>
      <c r="K80">
        <f t="shared" si="24"/>
        <v>15</v>
      </c>
      <c r="L80">
        <f t="shared" si="31"/>
        <v>0.65956103458309601</v>
      </c>
      <c r="M80">
        <f t="shared" si="25"/>
        <v>4</v>
      </c>
      <c r="N80">
        <f t="shared" si="26"/>
        <v>1</v>
      </c>
      <c r="O80">
        <f t="shared" si="27"/>
        <v>0</v>
      </c>
      <c r="P80">
        <f t="shared" si="28"/>
        <v>4</v>
      </c>
      <c r="Q80">
        <f t="shared" si="32"/>
        <v>0.42245101488487496</v>
      </c>
      <c r="R80">
        <f t="shared" si="20"/>
        <v>0</v>
      </c>
      <c r="S80">
        <f t="shared" si="21"/>
        <v>0</v>
      </c>
      <c r="T80">
        <f t="shared" si="29"/>
        <v>0</v>
      </c>
      <c r="U80">
        <f t="shared" si="35"/>
        <v>36</v>
      </c>
      <c r="V80">
        <f t="shared" si="33"/>
        <v>0.83112126297940359</v>
      </c>
      <c r="W80">
        <f t="shared" si="34"/>
        <v>0.59847227108690626</v>
      </c>
    </row>
    <row r="81" spans="1:23" x14ac:dyDescent="0.25">
      <c r="A81" t="s">
        <v>75</v>
      </c>
      <c r="B81">
        <v>10.180999999999999</v>
      </c>
      <c r="C81">
        <v>231</v>
      </c>
      <c r="D81" t="s">
        <v>354</v>
      </c>
      <c r="E81">
        <f t="shared" si="19"/>
        <v>8</v>
      </c>
      <c r="G81">
        <v>78</v>
      </c>
      <c r="H81">
        <f t="shared" si="30"/>
        <v>15</v>
      </c>
      <c r="I81">
        <f t="shared" si="22"/>
        <v>0</v>
      </c>
      <c r="J81">
        <f t="shared" si="23"/>
        <v>0</v>
      </c>
      <c r="K81">
        <f t="shared" si="24"/>
        <v>15</v>
      </c>
      <c r="L81">
        <f t="shared" si="31"/>
        <v>0.65956103458309601</v>
      </c>
      <c r="M81">
        <f t="shared" si="25"/>
        <v>4</v>
      </c>
      <c r="N81">
        <f t="shared" si="26"/>
        <v>0</v>
      </c>
      <c r="O81">
        <f t="shared" si="27"/>
        <v>0</v>
      </c>
      <c r="P81">
        <f t="shared" si="28"/>
        <v>4</v>
      </c>
      <c r="Q81">
        <f t="shared" si="32"/>
        <v>0.42245101488487496</v>
      </c>
      <c r="R81">
        <f t="shared" si="20"/>
        <v>0</v>
      </c>
      <c r="S81">
        <f t="shared" si="21"/>
        <v>0</v>
      </c>
      <c r="T81">
        <f t="shared" si="29"/>
        <v>0</v>
      </c>
      <c r="U81">
        <f t="shared" si="35"/>
        <v>36</v>
      </c>
      <c r="V81">
        <f t="shared" si="33"/>
        <v>0.83112126297940359</v>
      </c>
      <c r="W81">
        <f t="shared" si="34"/>
        <v>0.59847227108690626</v>
      </c>
    </row>
    <row r="82" spans="1:23" x14ac:dyDescent="0.25">
      <c r="A82" t="s">
        <v>76</v>
      </c>
      <c r="B82">
        <v>66.371700000000004</v>
      </c>
      <c r="C82">
        <v>462</v>
      </c>
      <c r="D82" t="s">
        <v>354</v>
      </c>
      <c r="E82">
        <f t="shared" si="19"/>
        <v>16</v>
      </c>
      <c r="G82">
        <v>79</v>
      </c>
      <c r="H82">
        <f t="shared" si="30"/>
        <v>15</v>
      </c>
      <c r="I82">
        <f t="shared" si="22"/>
        <v>0</v>
      </c>
      <c r="J82">
        <f t="shared" si="23"/>
        <v>0</v>
      </c>
      <c r="K82">
        <f t="shared" si="24"/>
        <v>15</v>
      </c>
      <c r="L82">
        <f t="shared" si="31"/>
        <v>0.65956103458309601</v>
      </c>
      <c r="M82">
        <f t="shared" si="25"/>
        <v>4</v>
      </c>
      <c r="N82">
        <f t="shared" si="26"/>
        <v>0</v>
      </c>
      <c r="O82">
        <f t="shared" si="27"/>
        <v>0</v>
      </c>
      <c r="P82">
        <f t="shared" si="28"/>
        <v>4</v>
      </c>
      <c r="Q82">
        <f t="shared" si="32"/>
        <v>0.42245101488487496</v>
      </c>
      <c r="R82">
        <f t="shared" si="20"/>
        <v>0</v>
      </c>
      <c r="S82">
        <f t="shared" si="21"/>
        <v>0</v>
      </c>
      <c r="T82">
        <f t="shared" si="29"/>
        <v>0</v>
      </c>
      <c r="U82">
        <f t="shared" si="35"/>
        <v>37</v>
      </c>
      <c r="V82">
        <f t="shared" si="33"/>
        <v>0.83112126297940359</v>
      </c>
      <c r="W82">
        <f t="shared" si="34"/>
        <v>0.59847227108690626</v>
      </c>
    </row>
    <row r="83" spans="1:23" x14ac:dyDescent="0.25">
      <c r="A83" t="s">
        <v>77</v>
      </c>
      <c r="B83">
        <v>415.48759999999999</v>
      </c>
      <c r="C83">
        <v>367</v>
      </c>
      <c r="D83" t="s">
        <v>354</v>
      </c>
      <c r="E83">
        <f t="shared" si="19"/>
        <v>13</v>
      </c>
      <c r="G83">
        <v>80</v>
      </c>
      <c r="H83">
        <f t="shared" si="30"/>
        <v>15</v>
      </c>
      <c r="I83">
        <f t="shared" si="22"/>
        <v>0</v>
      </c>
      <c r="J83">
        <f t="shared" si="23"/>
        <v>0</v>
      </c>
      <c r="K83">
        <f t="shared" si="24"/>
        <v>15</v>
      </c>
      <c r="L83">
        <f t="shared" si="31"/>
        <v>0.65956103458309601</v>
      </c>
      <c r="M83">
        <f t="shared" si="25"/>
        <v>4</v>
      </c>
      <c r="N83">
        <f t="shared" si="26"/>
        <v>0</v>
      </c>
      <c r="O83">
        <f t="shared" si="27"/>
        <v>0</v>
      </c>
      <c r="P83">
        <f t="shared" si="28"/>
        <v>4</v>
      </c>
      <c r="Q83">
        <f t="shared" si="32"/>
        <v>0.42245101488487496</v>
      </c>
      <c r="R83">
        <f t="shared" si="20"/>
        <v>0</v>
      </c>
      <c r="S83">
        <f t="shared" si="21"/>
        <v>0</v>
      </c>
      <c r="T83">
        <f t="shared" si="29"/>
        <v>0</v>
      </c>
      <c r="U83">
        <f t="shared" si="35"/>
        <v>37</v>
      </c>
      <c r="V83">
        <f t="shared" si="33"/>
        <v>0.80865852614212241</v>
      </c>
      <c r="W83">
        <f t="shared" si="34"/>
        <v>0.59847227108690626</v>
      </c>
    </row>
    <row r="84" spans="1:23" x14ac:dyDescent="0.25">
      <c r="A84" t="s">
        <v>78</v>
      </c>
      <c r="B84">
        <v>59.630499999999998</v>
      </c>
      <c r="C84">
        <v>286</v>
      </c>
      <c r="D84" t="s">
        <v>354</v>
      </c>
      <c r="E84">
        <f t="shared" si="19"/>
        <v>10</v>
      </c>
      <c r="G84">
        <v>81</v>
      </c>
      <c r="H84">
        <f t="shared" si="30"/>
        <v>15</v>
      </c>
      <c r="I84">
        <f t="shared" si="22"/>
        <v>0</v>
      </c>
      <c r="J84">
        <f t="shared" si="23"/>
        <v>0</v>
      </c>
      <c r="K84">
        <f t="shared" si="24"/>
        <v>15</v>
      </c>
      <c r="L84">
        <f t="shared" si="31"/>
        <v>0.65956103458309601</v>
      </c>
      <c r="M84">
        <f t="shared" si="25"/>
        <v>4</v>
      </c>
      <c r="N84">
        <f t="shared" si="26"/>
        <v>0</v>
      </c>
      <c r="O84">
        <f t="shared" si="27"/>
        <v>0</v>
      </c>
      <c r="P84">
        <f t="shared" si="28"/>
        <v>4</v>
      </c>
      <c r="Q84">
        <f t="shared" si="32"/>
        <v>0.42245101488487496</v>
      </c>
      <c r="R84">
        <f t="shared" si="20"/>
        <v>0</v>
      </c>
      <c r="S84">
        <f t="shared" si="21"/>
        <v>0</v>
      </c>
      <c r="T84">
        <f t="shared" si="29"/>
        <v>0</v>
      </c>
      <c r="U84">
        <f t="shared" si="35"/>
        <v>38</v>
      </c>
      <c r="V84">
        <f t="shared" si="33"/>
        <v>0.80865852614212241</v>
      </c>
      <c r="W84">
        <f t="shared" si="34"/>
        <v>0.59847227108690626</v>
      </c>
    </row>
    <row r="85" spans="1:23" x14ac:dyDescent="0.25">
      <c r="A85" t="s">
        <v>79</v>
      </c>
      <c r="B85">
        <v>8.5911000000000008</v>
      </c>
      <c r="C85">
        <v>342</v>
      </c>
      <c r="D85" t="s">
        <v>354</v>
      </c>
      <c r="E85">
        <f t="shared" si="19"/>
        <v>12</v>
      </c>
      <c r="G85">
        <v>82</v>
      </c>
      <c r="H85">
        <f t="shared" si="30"/>
        <v>15</v>
      </c>
      <c r="I85">
        <f t="shared" si="22"/>
        <v>0</v>
      </c>
      <c r="J85">
        <f t="shared" si="23"/>
        <v>0</v>
      </c>
      <c r="K85">
        <f t="shared" si="24"/>
        <v>15</v>
      </c>
      <c r="L85">
        <f t="shared" si="31"/>
        <v>0.65956103458309601</v>
      </c>
      <c r="M85">
        <f t="shared" si="25"/>
        <v>4</v>
      </c>
      <c r="N85">
        <f t="shared" si="26"/>
        <v>0</v>
      </c>
      <c r="O85">
        <f t="shared" si="27"/>
        <v>0</v>
      </c>
      <c r="P85">
        <f t="shared" si="28"/>
        <v>4</v>
      </c>
      <c r="Q85">
        <f t="shared" si="32"/>
        <v>0.42245101488487496</v>
      </c>
      <c r="R85">
        <f t="shared" si="20"/>
        <v>0</v>
      </c>
      <c r="S85">
        <f t="shared" si="21"/>
        <v>0</v>
      </c>
      <c r="T85">
        <f t="shared" si="29"/>
        <v>0</v>
      </c>
      <c r="U85">
        <f t="shared" si="35"/>
        <v>38</v>
      </c>
      <c r="V85">
        <f t="shared" si="33"/>
        <v>0.80865852614212241</v>
      </c>
      <c r="W85">
        <f t="shared" si="34"/>
        <v>0.59847227108690626</v>
      </c>
    </row>
    <row r="86" spans="1:23" x14ac:dyDescent="0.25">
      <c r="A86" t="s">
        <v>80</v>
      </c>
      <c r="B86">
        <v>123.6691</v>
      </c>
      <c r="C86">
        <v>306</v>
      </c>
      <c r="D86" t="s">
        <v>354</v>
      </c>
      <c r="E86">
        <f t="shared" si="19"/>
        <v>11</v>
      </c>
      <c r="G86">
        <v>83</v>
      </c>
      <c r="H86">
        <f t="shared" si="30"/>
        <v>14</v>
      </c>
      <c r="I86">
        <f t="shared" si="22"/>
        <v>1</v>
      </c>
      <c r="J86">
        <f t="shared" si="23"/>
        <v>1</v>
      </c>
      <c r="K86">
        <f t="shared" si="24"/>
        <v>13</v>
      </c>
      <c r="L86">
        <f t="shared" si="31"/>
        <v>0.61244953211287478</v>
      </c>
      <c r="M86">
        <f t="shared" si="25"/>
        <v>4</v>
      </c>
      <c r="N86">
        <f t="shared" si="26"/>
        <v>0</v>
      </c>
      <c r="O86">
        <f t="shared" si="27"/>
        <v>0</v>
      </c>
      <c r="P86">
        <f t="shared" si="28"/>
        <v>4</v>
      </c>
      <c r="Q86">
        <f t="shared" si="32"/>
        <v>0.42245101488487496</v>
      </c>
      <c r="R86">
        <f t="shared" si="20"/>
        <v>5.5555555555555552E-2</v>
      </c>
      <c r="S86">
        <f t="shared" si="21"/>
        <v>0.77777777777777768</v>
      </c>
      <c r="T86">
        <f t="shared" si="29"/>
        <v>0.22222222222222221</v>
      </c>
      <c r="U86">
        <f t="shared" si="35"/>
        <v>39</v>
      </c>
      <c r="V86">
        <f t="shared" si="33"/>
        <v>0.80865852614212241</v>
      </c>
      <c r="W86">
        <f t="shared" si="34"/>
        <v>0.59847227108690626</v>
      </c>
    </row>
    <row r="87" spans="1:23" x14ac:dyDescent="0.25">
      <c r="A87" t="s">
        <v>81</v>
      </c>
      <c r="B87">
        <v>12.987</v>
      </c>
      <c r="C87">
        <v>297</v>
      </c>
      <c r="D87" t="s">
        <v>354</v>
      </c>
      <c r="E87">
        <f t="shared" si="19"/>
        <v>10</v>
      </c>
      <c r="G87">
        <v>84</v>
      </c>
      <c r="H87">
        <f t="shared" si="30"/>
        <v>13</v>
      </c>
      <c r="I87">
        <f t="shared" si="22"/>
        <v>0</v>
      </c>
      <c r="J87">
        <f t="shared" si="23"/>
        <v>0</v>
      </c>
      <c r="K87">
        <f t="shared" si="24"/>
        <v>13</v>
      </c>
      <c r="L87">
        <f t="shared" si="31"/>
        <v>0.61244953211287478</v>
      </c>
      <c r="M87">
        <f t="shared" si="25"/>
        <v>4</v>
      </c>
      <c r="N87">
        <f t="shared" si="26"/>
        <v>0</v>
      </c>
      <c r="O87">
        <f t="shared" si="27"/>
        <v>0</v>
      </c>
      <c r="P87">
        <f t="shared" si="28"/>
        <v>4</v>
      </c>
      <c r="Q87">
        <f t="shared" si="32"/>
        <v>0.42245101488487496</v>
      </c>
      <c r="R87">
        <f t="shared" si="20"/>
        <v>0</v>
      </c>
      <c r="S87">
        <f t="shared" si="21"/>
        <v>0</v>
      </c>
      <c r="T87">
        <f t="shared" si="29"/>
        <v>0</v>
      </c>
      <c r="U87">
        <f t="shared" si="35"/>
        <v>39</v>
      </c>
      <c r="V87">
        <f t="shared" si="33"/>
        <v>0.78619578930484124</v>
      </c>
      <c r="W87">
        <f t="shared" si="34"/>
        <v>0.59847227108690626</v>
      </c>
    </row>
    <row r="88" spans="1:23" x14ac:dyDescent="0.25">
      <c r="A88" t="s">
        <v>82</v>
      </c>
      <c r="B88">
        <v>17.746600000000001</v>
      </c>
      <c r="C88">
        <v>362</v>
      </c>
      <c r="D88" t="s">
        <v>354</v>
      </c>
      <c r="E88">
        <f t="shared" si="19"/>
        <v>13</v>
      </c>
      <c r="G88">
        <v>85</v>
      </c>
      <c r="H88">
        <f t="shared" si="30"/>
        <v>13</v>
      </c>
      <c r="I88">
        <f t="shared" si="22"/>
        <v>0</v>
      </c>
      <c r="J88">
        <f t="shared" si="23"/>
        <v>0</v>
      </c>
      <c r="K88">
        <f t="shared" si="24"/>
        <v>13</v>
      </c>
      <c r="L88">
        <f t="shared" si="31"/>
        <v>0.61244953211287478</v>
      </c>
      <c r="M88">
        <f t="shared" si="25"/>
        <v>4</v>
      </c>
      <c r="N88">
        <f t="shared" si="26"/>
        <v>0</v>
      </c>
      <c r="O88">
        <f t="shared" si="27"/>
        <v>0</v>
      </c>
      <c r="P88">
        <f t="shared" si="28"/>
        <v>4</v>
      </c>
      <c r="Q88">
        <f t="shared" si="32"/>
        <v>0.42245101488487496</v>
      </c>
      <c r="R88">
        <f t="shared" si="20"/>
        <v>0</v>
      </c>
      <c r="S88">
        <f t="shared" si="21"/>
        <v>0</v>
      </c>
      <c r="T88">
        <f t="shared" si="29"/>
        <v>0</v>
      </c>
      <c r="U88">
        <f t="shared" si="35"/>
        <v>40</v>
      </c>
      <c r="V88">
        <f t="shared" si="33"/>
        <v>0.78619578930484124</v>
      </c>
      <c r="W88">
        <f t="shared" si="34"/>
        <v>0.59847227108690626</v>
      </c>
    </row>
    <row r="89" spans="1:23" x14ac:dyDescent="0.25">
      <c r="A89" t="s">
        <v>83</v>
      </c>
      <c r="B89">
        <v>5.16</v>
      </c>
      <c r="C89">
        <v>286</v>
      </c>
      <c r="D89" t="s">
        <v>354</v>
      </c>
      <c r="E89">
        <f t="shared" si="19"/>
        <v>10</v>
      </c>
      <c r="G89">
        <v>86</v>
      </c>
      <c r="H89">
        <f t="shared" si="30"/>
        <v>13</v>
      </c>
      <c r="I89">
        <f t="shared" si="22"/>
        <v>0</v>
      </c>
      <c r="J89">
        <f t="shared" si="23"/>
        <v>0</v>
      </c>
      <c r="K89">
        <f t="shared" si="24"/>
        <v>13</v>
      </c>
      <c r="L89">
        <f t="shared" si="31"/>
        <v>0.61244953211287478</v>
      </c>
      <c r="M89">
        <f t="shared" si="25"/>
        <v>4</v>
      </c>
      <c r="N89">
        <f t="shared" si="26"/>
        <v>0</v>
      </c>
      <c r="O89">
        <f t="shared" si="27"/>
        <v>0</v>
      </c>
      <c r="P89">
        <f t="shared" si="28"/>
        <v>4</v>
      </c>
      <c r="Q89">
        <f t="shared" si="32"/>
        <v>0.42245101488487496</v>
      </c>
      <c r="R89">
        <f t="shared" si="20"/>
        <v>0</v>
      </c>
      <c r="S89">
        <f t="shared" si="21"/>
        <v>0</v>
      </c>
      <c r="T89">
        <f t="shared" si="29"/>
        <v>0</v>
      </c>
      <c r="U89">
        <f t="shared" si="35"/>
        <v>40</v>
      </c>
      <c r="V89">
        <f t="shared" si="33"/>
        <v>0.78619578930484124</v>
      </c>
      <c r="W89">
        <f t="shared" si="34"/>
        <v>0.59847227108690626</v>
      </c>
    </row>
    <row r="90" spans="1:23" x14ac:dyDescent="0.25">
      <c r="A90" t="s">
        <v>84</v>
      </c>
      <c r="B90">
        <v>3.0565000000000002</v>
      </c>
      <c r="C90">
        <v>244</v>
      </c>
      <c r="D90" t="s">
        <v>354</v>
      </c>
      <c r="E90">
        <f t="shared" si="19"/>
        <v>9</v>
      </c>
      <c r="G90">
        <v>87</v>
      </c>
      <c r="H90">
        <f t="shared" si="30"/>
        <v>13</v>
      </c>
      <c r="I90">
        <f t="shared" si="22"/>
        <v>0</v>
      </c>
      <c r="J90">
        <f t="shared" si="23"/>
        <v>0</v>
      </c>
      <c r="K90">
        <f t="shared" si="24"/>
        <v>13</v>
      </c>
      <c r="L90">
        <f t="shared" si="31"/>
        <v>0.61244953211287478</v>
      </c>
      <c r="M90">
        <f t="shared" si="25"/>
        <v>4</v>
      </c>
      <c r="N90">
        <f t="shared" si="26"/>
        <v>0</v>
      </c>
      <c r="O90">
        <f t="shared" si="27"/>
        <v>0</v>
      </c>
      <c r="P90">
        <f t="shared" si="28"/>
        <v>4</v>
      </c>
      <c r="Q90">
        <f t="shared" si="32"/>
        <v>0.42245101488487496</v>
      </c>
      <c r="R90">
        <f t="shared" si="20"/>
        <v>0</v>
      </c>
      <c r="S90">
        <f t="shared" si="21"/>
        <v>0</v>
      </c>
      <c r="T90">
        <f t="shared" si="29"/>
        <v>0</v>
      </c>
      <c r="U90">
        <f t="shared" si="35"/>
        <v>41</v>
      </c>
      <c r="V90">
        <f t="shared" si="33"/>
        <v>0.78619578930484124</v>
      </c>
      <c r="W90">
        <f t="shared" si="34"/>
        <v>0.59847227108690626</v>
      </c>
    </row>
    <row r="91" spans="1:23" x14ac:dyDescent="0.25">
      <c r="A91" t="s">
        <v>85</v>
      </c>
      <c r="B91">
        <v>113.1955</v>
      </c>
      <c r="C91">
        <v>320</v>
      </c>
      <c r="D91" t="s">
        <v>354</v>
      </c>
      <c r="E91">
        <f t="shared" si="19"/>
        <v>11</v>
      </c>
      <c r="G91">
        <v>88</v>
      </c>
      <c r="H91">
        <f t="shared" si="30"/>
        <v>13</v>
      </c>
      <c r="I91">
        <f t="shared" si="22"/>
        <v>0</v>
      </c>
      <c r="J91">
        <f t="shared" si="23"/>
        <v>0</v>
      </c>
      <c r="K91">
        <f t="shared" si="24"/>
        <v>13</v>
      </c>
      <c r="L91">
        <f t="shared" si="31"/>
        <v>0.61244953211287478</v>
      </c>
      <c r="M91">
        <f t="shared" si="25"/>
        <v>4</v>
      </c>
      <c r="N91">
        <f t="shared" si="26"/>
        <v>0</v>
      </c>
      <c r="O91">
        <f t="shared" si="27"/>
        <v>0</v>
      </c>
      <c r="P91">
        <f t="shared" si="28"/>
        <v>4</v>
      </c>
      <c r="Q91">
        <f t="shared" si="32"/>
        <v>0.42245101488487496</v>
      </c>
      <c r="R91">
        <f t="shared" si="20"/>
        <v>0</v>
      </c>
      <c r="S91">
        <f t="shared" si="21"/>
        <v>0</v>
      </c>
      <c r="T91">
        <f t="shared" si="29"/>
        <v>0</v>
      </c>
      <c r="U91">
        <f t="shared" si="35"/>
        <v>41</v>
      </c>
      <c r="V91">
        <f t="shared" si="33"/>
        <v>0.78619578930484124</v>
      </c>
      <c r="W91">
        <f t="shared" si="34"/>
        <v>0.59847227108690626</v>
      </c>
    </row>
    <row r="92" spans="1:23" x14ac:dyDescent="0.25">
      <c r="A92" t="s">
        <v>86</v>
      </c>
      <c r="B92">
        <v>458.2901</v>
      </c>
      <c r="C92">
        <v>195</v>
      </c>
      <c r="D92" t="s">
        <v>354</v>
      </c>
      <c r="E92">
        <f t="shared" si="19"/>
        <v>7</v>
      </c>
      <c r="G92">
        <v>89</v>
      </c>
      <c r="H92">
        <f t="shared" si="30"/>
        <v>13</v>
      </c>
      <c r="I92">
        <f t="shared" si="22"/>
        <v>0</v>
      </c>
      <c r="J92">
        <f t="shared" si="23"/>
        <v>0</v>
      </c>
      <c r="K92">
        <f t="shared" si="24"/>
        <v>13</v>
      </c>
      <c r="L92">
        <f t="shared" si="31"/>
        <v>0.61244953211287478</v>
      </c>
      <c r="M92">
        <f t="shared" si="25"/>
        <v>4</v>
      </c>
      <c r="N92">
        <f t="shared" si="26"/>
        <v>0</v>
      </c>
      <c r="O92">
        <f t="shared" si="27"/>
        <v>0</v>
      </c>
      <c r="P92">
        <f t="shared" si="28"/>
        <v>4</v>
      </c>
      <c r="Q92">
        <f t="shared" si="32"/>
        <v>0.42245101488487496</v>
      </c>
      <c r="R92">
        <f t="shared" si="20"/>
        <v>0</v>
      </c>
      <c r="S92">
        <f t="shared" si="21"/>
        <v>0</v>
      </c>
      <c r="T92">
        <f t="shared" si="29"/>
        <v>0</v>
      </c>
      <c r="U92">
        <f t="shared" si="35"/>
        <v>42</v>
      </c>
      <c r="V92">
        <f t="shared" si="33"/>
        <v>0.78619578930484124</v>
      </c>
      <c r="W92">
        <f t="shared" si="34"/>
        <v>0.59847227108690626</v>
      </c>
    </row>
    <row r="93" spans="1:23" x14ac:dyDescent="0.25">
      <c r="A93" t="s">
        <v>87</v>
      </c>
      <c r="B93">
        <v>486.41300000000001</v>
      </c>
      <c r="C93">
        <v>182</v>
      </c>
      <c r="D93" t="s">
        <v>354</v>
      </c>
      <c r="E93">
        <f t="shared" si="19"/>
        <v>7</v>
      </c>
      <c r="G93">
        <v>90</v>
      </c>
      <c r="H93">
        <f t="shared" si="30"/>
        <v>12</v>
      </c>
      <c r="I93">
        <f t="shared" si="22"/>
        <v>1</v>
      </c>
      <c r="J93">
        <f t="shared" si="23"/>
        <v>0</v>
      </c>
      <c r="K93">
        <f t="shared" si="24"/>
        <v>12</v>
      </c>
      <c r="L93">
        <f t="shared" si="31"/>
        <v>0.61244953211287478</v>
      </c>
      <c r="M93">
        <f t="shared" si="25"/>
        <v>4</v>
      </c>
      <c r="N93">
        <f t="shared" si="26"/>
        <v>0</v>
      </c>
      <c r="O93">
        <f t="shared" si="27"/>
        <v>0</v>
      </c>
      <c r="P93">
        <f t="shared" si="28"/>
        <v>4</v>
      </c>
      <c r="Q93">
        <f t="shared" si="32"/>
        <v>0.42245101488487496</v>
      </c>
      <c r="R93">
        <f t="shared" si="20"/>
        <v>0</v>
      </c>
      <c r="S93">
        <f t="shared" si="21"/>
        <v>0</v>
      </c>
      <c r="T93">
        <f t="shared" si="29"/>
        <v>0</v>
      </c>
      <c r="U93">
        <f t="shared" si="35"/>
        <v>42</v>
      </c>
      <c r="V93">
        <f t="shared" si="33"/>
        <v>0.78619578930484124</v>
      </c>
      <c r="W93">
        <f t="shared" si="34"/>
        <v>0.59847227108690626</v>
      </c>
    </row>
    <row r="94" spans="1:23" x14ac:dyDescent="0.25">
      <c r="A94" t="s">
        <v>88</v>
      </c>
      <c r="B94">
        <v>15.237299999999999</v>
      </c>
      <c r="C94">
        <v>125</v>
      </c>
      <c r="D94" t="s">
        <v>354</v>
      </c>
      <c r="E94">
        <f t="shared" si="19"/>
        <v>5</v>
      </c>
      <c r="G94">
        <v>91</v>
      </c>
      <c r="H94">
        <f t="shared" si="30"/>
        <v>12</v>
      </c>
      <c r="I94">
        <f t="shared" si="22"/>
        <v>0</v>
      </c>
      <c r="J94">
        <f t="shared" si="23"/>
        <v>0</v>
      </c>
      <c r="K94">
        <f t="shared" si="24"/>
        <v>12</v>
      </c>
      <c r="L94">
        <f t="shared" si="31"/>
        <v>0.61244953211287478</v>
      </c>
      <c r="M94">
        <f t="shared" si="25"/>
        <v>4</v>
      </c>
      <c r="N94">
        <f t="shared" si="26"/>
        <v>0</v>
      </c>
      <c r="O94">
        <f t="shared" si="27"/>
        <v>0</v>
      </c>
      <c r="P94">
        <f t="shared" si="28"/>
        <v>4</v>
      </c>
      <c r="Q94">
        <f t="shared" si="32"/>
        <v>0.42245101488487496</v>
      </c>
      <c r="R94">
        <f t="shared" si="20"/>
        <v>0</v>
      </c>
      <c r="S94">
        <f t="shared" si="21"/>
        <v>0</v>
      </c>
      <c r="T94">
        <f t="shared" si="29"/>
        <v>0</v>
      </c>
      <c r="U94">
        <f t="shared" si="35"/>
        <v>43</v>
      </c>
      <c r="V94">
        <f t="shared" si="33"/>
        <v>0.78619578930484124</v>
      </c>
      <c r="W94">
        <f t="shared" si="34"/>
        <v>0.59847227108690626</v>
      </c>
    </row>
    <row r="95" spans="1:23" x14ac:dyDescent="0.25">
      <c r="A95" t="s">
        <v>89</v>
      </c>
      <c r="B95">
        <v>2.4603999999999999</v>
      </c>
      <c r="C95">
        <v>130</v>
      </c>
      <c r="D95" t="s">
        <v>354</v>
      </c>
      <c r="E95">
        <f t="shared" si="19"/>
        <v>5</v>
      </c>
      <c r="G95">
        <v>92</v>
      </c>
      <c r="H95">
        <f t="shared" si="30"/>
        <v>12</v>
      </c>
      <c r="I95">
        <f t="shared" si="22"/>
        <v>0</v>
      </c>
      <c r="J95">
        <f t="shared" si="23"/>
        <v>0</v>
      </c>
      <c r="K95">
        <f t="shared" si="24"/>
        <v>12</v>
      </c>
      <c r="L95">
        <f t="shared" si="31"/>
        <v>0.61244953211287478</v>
      </c>
      <c r="M95">
        <f t="shared" si="25"/>
        <v>4</v>
      </c>
      <c r="N95">
        <f t="shared" si="26"/>
        <v>0</v>
      </c>
      <c r="O95">
        <f t="shared" si="27"/>
        <v>0</v>
      </c>
      <c r="P95">
        <f t="shared" si="28"/>
        <v>4</v>
      </c>
      <c r="Q95">
        <f t="shared" si="32"/>
        <v>0.42245101488487496</v>
      </c>
      <c r="R95">
        <f t="shared" si="20"/>
        <v>0</v>
      </c>
      <c r="S95">
        <f t="shared" si="21"/>
        <v>0</v>
      </c>
      <c r="T95">
        <f t="shared" si="29"/>
        <v>0</v>
      </c>
      <c r="U95">
        <f t="shared" si="35"/>
        <v>43</v>
      </c>
      <c r="V95">
        <f t="shared" si="33"/>
        <v>0.78619578930484124</v>
      </c>
      <c r="W95">
        <f t="shared" si="34"/>
        <v>0.59847227108690626</v>
      </c>
    </row>
    <row r="96" spans="1:23" x14ac:dyDescent="0.25">
      <c r="A96" t="s">
        <v>90</v>
      </c>
      <c r="B96">
        <v>524.02509999999995</v>
      </c>
      <c r="C96">
        <v>134</v>
      </c>
      <c r="D96" t="s">
        <v>354</v>
      </c>
      <c r="E96">
        <f t="shared" si="19"/>
        <v>5</v>
      </c>
      <c r="G96">
        <v>93</v>
      </c>
      <c r="H96">
        <f t="shared" si="30"/>
        <v>11</v>
      </c>
      <c r="I96">
        <f t="shared" si="22"/>
        <v>1</v>
      </c>
      <c r="J96">
        <f t="shared" si="23"/>
        <v>0</v>
      </c>
      <c r="K96">
        <f t="shared" si="24"/>
        <v>11</v>
      </c>
      <c r="L96">
        <f t="shared" si="31"/>
        <v>0.61244953211287478</v>
      </c>
      <c r="M96">
        <f t="shared" si="25"/>
        <v>4</v>
      </c>
      <c r="N96">
        <f t="shared" si="26"/>
        <v>0</v>
      </c>
      <c r="O96">
        <f t="shared" si="27"/>
        <v>0</v>
      </c>
      <c r="P96">
        <f t="shared" si="28"/>
        <v>4</v>
      </c>
      <c r="Q96">
        <f t="shared" si="32"/>
        <v>0.42245101488487496</v>
      </c>
      <c r="R96">
        <f t="shared" si="20"/>
        <v>0</v>
      </c>
      <c r="S96">
        <f t="shared" si="21"/>
        <v>0</v>
      </c>
      <c r="T96">
        <f t="shared" si="29"/>
        <v>0</v>
      </c>
      <c r="U96">
        <f t="shared" si="35"/>
        <v>44</v>
      </c>
      <c r="V96">
        <f t="shared" si="33"/>
        <v>0.78619578930484124</v>
      </c>
      <c r="W96">
        <f t="shared" si="34"/>
        <v>0.59847227108690626</v>
      </c>
    </row>
    <row r="97" spans="1:23" x14ac:dyDescent="0.25">
      <c r="A97" t="s">
        <v>91</v>
      </c>
      <c r="B97">
        <v>12.1982</v>
      </c>
      <c r="C97">
        <v>253</v>
      </c>
      <c r="D97" t="s">
        <v>354</v>
      </c>
      <c r="E97">
        <f t="shared" si="19"/>
        <v>9</v>
      </c>
      <c r="G97">
        <v>94</v>
      </c>
      <c r="H97">
        <f t="shared" si="30"/>
        <v>11</v>
      </c>
      <c r="I97">
        <f t="shared" si="22"/>
        <v>0</v>
      </c>
      <c r="J97">
        <f t="shared" si="23"/>
        <v>0</v>
      </c>
      <c r="K97">
        <f t="shared" si="24"/>
        <v>11</v>
      </c>
      <c r="L97">
        <f t="shared" si="31"/>
        <v>0.61244953211287478</v>
      </c>
      <c r="M97">
        <f t="shared" si="25"/>
        <v>4</v>
      </c>
      <c r="N97">
        <f t="shared" si="26"/>
        <v>0</v>
      </c>
      <c r="O97">
        <f t="shared" si="27"/>
        <v>0</v>
      </c>
      <c r="P97">
        <f t="shared" si="28"/>
        <v>4</v>
      </c>
      <c r="Q97">
        <f t="shared" si="32"/>
        <v>0.42245101488487496</v>
      </c>
      <c r="R97">
        <f t="shared" si="20"/>
        <v>0</v>
      </c>
      <c r="S97">
        <f t="shared" si="21"/>
        <v>0</v>
      </c>
      <c r="T97">
        <f t="shared" si="29"/>
        <v>0</v>
      </c>
      <c r="U97">
        <f t="shared" si="35"/>
        <v>44</v>
      </c>
      <c r="V97">
        <f t="shared" si="33"/>
        <v>0.78619578930484124</v>
      </c>
      <c r="W97">
        <f t="shared" si="34"/>
        <v>0.59847227108690626</v>
      </c>
    </row>
    <row r="98" spans="1:23" x14ac:dyDescent="0.25">
      <c r="A98" t="s">
        <v>92</v>
      </c>
      <c r="B98">
        <v>270.42970000000003</v>
      </c>
      <c r="C98">
        <v>147</v>
      </c>
      <c r="D98" t="s">
        <v>354</v>
      </c>
      <c r="E98">
        <f t="shared" si="19"/>
        <v>5</v>
      </c>
      <c r="G98">
        <v>95</v>
      </c>
      <c r="H98">
        <f t="shared" si="30"/>
        <v>9</v>
      </c>
      <c r="I98">
        <f t="shared" si="22"/>
        <v>2</v>
      </c>
      <c r="J98">
        <f t="shared" si="23"/>
        <v>1</v>
      </c>
      <c r="K98">
        <f t="shared" si="24"/>
        <v>8</v>
      </c>
      <c r="L98">
        <f t="shared" si="31"/>
        <v>0.54439958410033318</v>
      </c>
      <c r="M98">
        <f t="shared" si="25"/>
        <v>4</v>
      </c>
      <c r="N98">
        <f t="shared" si="26"/>
        <v>0</v>
      </c>
      <c r="O98">
        <f t="shared" si="27"/>
        <v>0</v>
      </c>
      <c r="P98">
        <f t="shared" si="28"/>
        <v>4</v>
      </c>
      <c r="Q98">
        <f t="shared" si="32"/>
        <v>0.42245101488487496</v>
      </c>
      <c r="R98">
        <f t="shared" si="20"/>
        <v>7.6923076923076927E-2</v>
      </c>
      <c r="S98">
        <f t="shared" si="21"/>
        <v>0.69230769230769229</v>
      </c>
      <c r="T98">
        <f t="shared" si="29"/>
        <v>0.30769230769230771</v>
      </c>
      <c r="U98">
        <f t="shared" si="35"/>
        <v>45</v>
      </c>
      <c r="V98">
        <f t="shared" si="33"/>
        <v>0.78619578930484124</v>
      </c>
      <c r="W98">
        <f t="shared" si="34"/>
        <v>0.59847227108690626</v>
      </c>
    </row>
    <row r="99" spans="1:23" x14ac:dyDescent="0.25">
      <c r="A99" t="s">
        <v>93</v>
      </c>
      <c r="B99">
        <v>32.217399999999998</v>
      </c>
      <c r="C99">
        <v>173</v>
      </c>
      <c r="D99" t="s">
        <v>354</v>
      </c>
      <c r="E99">
        <f t="shared" si="19"/>
        <v>6</v>
      </c>
      <c r="G99">
        <v>96</v>
      </c>
      <c r="H99">
        <f t="shared" si="30"/>
        <v>8</v>
      </c>
      <c r="I99">
        <f t="shared" si="22"/>
        <v>0</v>
      </c>
      <c r="J99">
        <f t="shared" si="23"/>
        <v>0</v>
      </c>
      <c r="K99">
        <f t="shared" si="24"/>
        <v>8</v>
      </c>
      <c r="L99">
        <f t="shared" si="31"/>
        <v>0.54439958410033318</v>
      </c>
      <c r="M99">
        <f t="shared" si="25"/>
        <v>4</v>
      </c>
      <c r="N99">
        <f t="shared" si="26"/>
        <v>0</v>
      </c>
      <c r="O99">
        <f t="shared" si="27"/>
        <v>0</v>
      </c>
      <c r="P99">
        <f t="shared" si="28"/>
        <v>4</v>
      </c>
      <c r="Q99">
        <f t="shared" si="32"/>
        <v>0.42245101488487496</v>
      </c>
      <c r="R99">
        <f t="shared" ref="R99:R105" si="36">SUM(J99,O99)/SUM(H99, M99)</f>
        <v>0</v>
      </c>
      <c r="S99">
        <f t="shared" ref="S99:S105" si="37">H99 * R99</f>
        <v>0</v>
      </c>
      <c r="T99">
        <f t="shared" si="29"/>
        <v>0</v>
      </c>
      <c r="U99">
        <f t="shared" si="35"/>
        <v>45</v>
      </c>
      <c r="V99">
        <f t="shared" si="33"/>
        <v>0.75908558967363982</v>
      </c>
      <c r="W99">
        <f t="shared" si="34"/>
        <v>0.59847227108690626</v>
      </c>
    </row>
    <row r="100" spans="1:23" x14ac:dyDescent="0.25">
      <c r="A100" t="s">
        <v>94</v>
      </c>
      <c r="B100">
        <v>26.8035</v>
      </c>
      <c r="C100">
        <v>249</v>
      </c>
      <c r="D100" t="s">
        <v>354</v>
      </c>
      <c r="E100">
        <f t="shared" si="19"/>
        <v>9</v>
      </c>
      <c r="G100">
        <v>97</v>
      </c>
      <c r="H100">
        <f t="shared" si="30"/>
        <v>8</v>
      </c>
      <c r="I100">
        <f t="shared" si="22"/>
        <v>0</v>
      </c>
      <c r="J100">
        <f t="shared" si="23"/>
        <v>0</v>
      </c>
      <c r="K100">
        <f t="shared" si="24"/>
        <v>8</v>
      </c>
      <c r="L100">
        <f t="shared" si="31"/>
        <v>0.54439958410033318</v>
      </c>
      <c r="M100">
        <f t="shared" si="25"/>
        <v>4</v>
      </c>
      <c r="N100">
        <f t="shared" si="26"/>
        <v>0</v>
      </c>
      <c r="O100">
        <f t="shared" si="27"/>
        <v>0</v>
      </c>
      <c r="P100">
        <f t="shared" si="28"/>
        <v>4</v>
      </c>
      <c r="Q100">
        <f t="shared" si="32"/>
        <v>0.42245101488487496</v>
      </c>
      <c r="R100">
        <f t="shared" si="36"/>
        <v>0</v>
      </c>
      <c r="S100">
        <f t="shared" si="37"/>
        <v>0</v>
      </c>
      <c r="T100">
        <f t="shared" si="29"/>
        <v>0</v>
      </c>
      <c r="U100">
        <f t="shared" si="35"/>
        <v>46</v>
      </c>
      <c r="V100">
        <f t="shared" si="33"/>
        <v>0.75908558967363982</v>
      </c>
      <c r="W100">
        <f t="shared" si="34"/>
        <v>0.59847227108690626</v>
      </c>
    </row>
    <row r="101" spans="1:23" x14ac:dyDescent="0.25">
      <c r="A101" t="s">
        <v>95</v>
      </c>
      <c r="B101">
        <v>23.694600000000001</v>
      </c>
      <c r="C101">
        <v>135</v>
      </c>
      <c r="D101" t="s">
        <v>354</v>
      </c>
      <c r="E101">
        <f t="shared" si="19"/>
        <v>5</v>
      </c>
      <c r="G101">
        <v>98</v>
      </c>
      <c r="H101">
        <f t="shared" si="30"/>
        <v>8</v>
      </c>
      <c r="I101">
        <f t="shared" si="22"/>
        <v>0</v>
      </c>
      <c r="J101">
        <f t="shared" si="23"/>
        <v>0</v>
      </c>
      <c r="K101">
        <f t="shared" si="24"/>
        <v>8</v>
      </c>
      <c r="L101">
        <f t="shared" si="31"/>
        <v>0.54439958410033318</v>
      </c>
      <c r="M101">
        <f t="shared" si="25"/>
        <v>4</v>
      </c>
      <c r="N101">
        <f t="shared" si="26"/>
        <v>0</v>
      </c>
      <c r="O101">
        <f t="shared" si="27"/>
        <v>0</v>
      </c>
      <c r="P101">
        <f t="shared" si="28"/>
        <v>4</v>
      </c>
      <c r="Q101">
        <f t="shared" si="32"/>
        <v>0.42245101488487496</v>
      </c>
      <c r="R101">
        <f t="shared" si="36"/>
        <v>0</v>
      </c>
      <c r="S101">
        <f t="shared" si="37"/>
        <v>0</v>
      </c>
      <c r="T101">
        <f t="shared" si="29"/>
        <v>0</v>
      </c>
      <c r="U101">
        <f t="shared" si="35"/>
        <v>46</v>
      </c>
      <c r="V101">
        <f t="shared" si="33"/>
        <v>0.75908558967363982</v>
      </c>
      <c r="W101">
        <f t="shared" si="34"/>
        <v>0.59847227108690626</v>
      </c>
    </row>
    <row r="102" spans="1:23" x14ac:dyDescent="0.25">
      <c r="A102" t="s">
        <v>96</v>
      </c>
      <c r="B102">
        <v>76.195300000000003</v>
      </c>
      <c r="C102">
        <v>91</v>
      </c>
      <c r="D102" t="s">
        <v>354</v>
      </c>
      <c r="E102">
        <f t="shared" si="19"/>
        <v>4</v>
      </c>
      <c r="G102">
        <v>99</v>
      </c>
      <c r="H102">
        <f t="shared" si="30"/>
        <v>8</v>
      </c>
      <c r="I102">
        <f t="shared" si="22"/>
        <v>0</v>
      </c>
      <c r="J102">
        <f t="shared" si="23"/>
        <v>0</v>
      </c>
      <c r="K102">
        <f t="shared" si="24"/>
        <v>8</v>
      </c>
      <c r="L102">
        <f t="shared" si="31"/>
        <v>0.54439958410033318</v>
      </c>
      <c r="M102">
        <f t="shared" si="25"/>
        <v>4</v>
      </c>
      <c r="N102">
        <f t="shared" si="26"/>
        <v>0</v>
      </c>
      <c r="O102">
        <f t="shared" si="27"/>
        <v>0</v>
      </c>
      <c r="P102">
        <f t="shared" si="28"/>
        <v>4</v>
      </c>
      <c r="Q102">
        <f t="shared" si="32"/>
        <v>0.42245101488487496</v>
      </c>
      <c r="R102">
        <f t="shared" si="36"/>
        <v>0</v>
      </c>
      <c r="S102">
        <f t="shared" si="37"/>
        <v>0</v>
      </c>
      <c r="T102">
        <f t="shared" si="29"/>
        <v>0</v>
      </c>
      <c r="U102">
        <f t="shared" si="35"/>
        <v>47</v>
      </c>
      <c r="V102">
        <f t="shared" si="33"/>
        <v>0.75908558967363982</v>
      </c>
      <c r="W102">
        <f t="shared" si="34"/>
        <v>0.59847227108690626</v>
      </c>
    </row>
    <row r="103" spans="1:23" x14ac:dyDescent="0.25">
      <c r="A103" t="s">
        <v>97</v>
      </c>
      <c r="B103">
        <v>36.2468</v>
      </c>
      <c r="C103">
        <v>178</v>
      </c>
      <c r="D103" t="s">
        <v>354</v>
      </c>
      <c r="E103">
        <f t="shared" si="19"/>
        <v>6</v>
      </c>
      <c r="G103">
        <v>100</v>
      </c>
      <c r="H103">
        <f t="shared" si="30"/>
        <v>8</v>
      </c>
      <c r="I103">
        <f t="shared" si="22"/>
        <v>0</v>
      </c>
      <c r="J103">
        <f t="shared" si="23"/>
        <v>0</v>
      </c>
      <c r="K103">
        <f t="shared" si="24"/>
        <v>8</v>
      </c>
      <c r="L103">
        <f t="shared" si="31"/>
        <v>0.54439958410033318</v>
      </c>
      <c r="M103">
        <f t="shared" si="25"/>
        <v>4</v>
      </c>
      <c r="N103">
        <f t="shared" si="26"/>
        <v>0</v>
      </c>
      <c r="O103">
        <f t="shared" si="27"/>
        <v>0</v>
      </c>
      <c r="P103">
        <f t="shared" si="28"/>
        <v>4</v>
      </c>
      <c r="Q103">
        <f t="shared" si="32"/>
        <v>0.42245101488487496</v>
      </c>
      <c r="R103">
        <f t="shared" si="36"/>
        <v>0</v>
      </c>
      <c r="S103">
        <f t="shared" si="37"/>
        <v>0</v>
      </c>
      <c r="T103">
        <f t="shared" si="29"/>
        <v>0</v>
      </c>
      <c r="U103">
        <f t="shared" si="35"/>
        <v>47</v>
      </c>
      <c r="V103">
        <f t="shared" si="33"/>
        <v>0.75908558967363982</v>
      </c>
      <c r="W103">
        <f t="shared" si="34"/>
        <v>0.59847227108690626</v>
      </c>
    </row>
    <row r="104" spans="1:23" x14ac:dyDescent="0.25">
      <c r="A104" t="s">
        <v>98</v>
      </c>
      <c r="B104">
        <v>4.4488000000000003</v>
      </c>
      <c r="C104">
        <v>87</v>
      </c>
      <c r="D104" t="s">
        <v>354</v>
      </c>
      <c r="E104">
        <f t="shared" si="19"/>
        <v>3</v>
      </c>
      <c r="G104">
        <v>101</v>
      </c>
      <c r="H104">
        <f t="shared" si="30"/>
        <v>8</v>
      </c>
      <c r="I104">
        <f t="shared" si="22"/>
        <v>0</v>
      </c>
      <c r="J104">
        <f t="shared" si="23"/>
        <v>0</v>
      </c>
      <c r="K104">
        <f t="shared" si="24"/>
        <v>8</v>
      </c>
      <c r="L104">
        <f t="shared" si="31"/>
        <v>0.54439958410033318</v>
      </c>
      <c r="M104">
        <f t="shared" si="25"/>
        <v>4</v>
      </c>
      <c r="N104">
        <f t="shared" si="26"/>
        <v>0</v>
      </c>
      <c r="O104">
        <f t="shared" si="27"/>
        <v>0</v>
      </c>
      <c r="P104">
        <f t="shared" si="28"/>
        <v>4</v>
      </c>
      <c r="Q104">
        <f t="shared" si="32"/>
        <v>0.42245101488487496</v>
      </c>
      <c r="R104">
        <f t="shared" si="36"/>
        <v>0</v>
      </c>
      <c r="S104">
        <f t="shared" si="37"/>
        <v>0</v>
      </c>
      <c r="T104">
        <f t="shared" si="29"/>
        <v>0</v>
      </c>
      <c r="U104">
        <f t="shared" si="35"/>
        <v>48</v>
      </c>
      <c r="V104">
        <f t="shared" si="33"/>
        <v>0.75908558967363982</v>
      </c>
      <c r="W104">
        <f t="shared" si="34"/>
        <v>0.59847227108690626</v>
      </c>
    </row>
    <row r="105" spans="1:23" x14ac:dyDescent="0.25">
      <c r="A105" t="s">
        <v>99</v>
      </c>
      <c r="B105">
        <v>74.127200000000002</v>
      </c>
      <c r="C105">
        <v>158</v>
      </c>
      <c r="D105" t="s">
        <v>354</v>
      </c>
      <c r="E105">
        <f t="shared" si="19"/>
        <v>6</v>
      </c>
      <c r="G105">
        <v>102</v>
      </c>
      <c r="H105">
        <f t="shared" si="30"/>
        <v>8</v>
      </c>
      <c r="I105">
        <f t="shared" si="22"/>
        <v>0</v>
      </c>
      <c r="J105">
        <f t="shared" si="23"/>
        <v>1</v>
      </c>
      <c r="K105">
        <f t="shared" si="24"/>
        <v>7</v>
      </c>
      <c r="L105">
        <f t="shared" si="31"/>
        <v>0.47634963608779152</v>
      </c>
      <c r="M105">
        <f t="shared" si="25"/>
        <v>4</v>
      </c>
      <c r="N105">
        <f t="shared" si="26"/>
        <v>0</v>
      </c>
      <c r="O105">
        <f t="shared" si="27"/>
        <v>0</v>
      </c>
      <c r="P105">
        <f t="shared" si="28"/>
        <v>4</v>
      </c>
      <c r="Q105">
        <f t="shared" si="32"/>
        <v>0.42245101488487496</v>
      </c>
      <c r="R105">
        <f t="shared" si="36"/>
        <v>8.3333333333333329E-2</v>
      </c>
      <c r="S105">
        <f t="shared" si="37"/>
        <v>0.66666666666666663</v>
      </c>
      <c r="T105">
        <f t="shared" si="29"/>
        <v>0.33333333333333331</v>
      </c>
      <c r="U105">
        <f t="shared" si="35"/>
        <v>48</v>
      </c>
      <c r="V105">
        <f t="shared" si="33"/>
        <v>0.75908558967363982</v>
      </c>
      <c r="W105">
        <f t="shared" si="34"/>
        <v>0.56326801984649999</v>
      </c>
    </row>
    <row r="106" spans="1:23" x14ac:dyDescent="0.25">
      <c r="A106" t="s">
        <v>100</v>
      </c>
      <c r="B106">
        <v>83.333299999999994</v>
      </c>
      <c r="C106">
        <v>164</v>
      </c>
      <c r="D106" t="s">
        <v>354</v>
      </c>
      <c r="E106">
        <f t="shared" si="19"/>
        <v>6</v>
      </c>
      <c r="U106">
        <f t="shared" si="35"/>
        <v>49</v>
      </c>
      <c r="V106">
        <f t="shared" si="33"/>
        <v>0.75908558967363982</v>
      </c>
      <c r="W106">
        <f t="shared" si="34"/>
        <v>0.56326801984649999</v>
      </c>
    </row>
    <row r="107" spans="1:23" x14ac:dyDescent="0.25">
      <c r="A107" t="s">
        <v>101</v>
      </c>
      <c r="B107">
        <v>27.348400000000002</v>
      </c>
      <c r="C107">
        <v>1595</v>
      </c>
      <c r="D107" t="s">
        <v>354</v>
      </c>
      <c r="E107">
        <f t="shared" si="19"/>
        <v>54</v>
      </c>
      <c r="U107">
        <f t="shared" si="35"/>
        <v>49</v>
      </c>
      <c r="V107">
        <f t="shared" si="33"/>
        <v>0.75908558967363982</v>
      </c>
      <c r="W107">
        <f t="shared" si="34"/>
        <v>0.56326801984649999</v>
      </c>
    </row>
    <row r="108" spans="1:23" x14ac:dyDescent="0.25">
      <c r="A108" t="s">
        <v>102</v>
      </c>
      <c r="B108">
        <v>6.6867000000000001</v>
      </c>
      <c r="C108">
        <v>117</v>
      </c>
      <c r="D108" t="s">
        <v>354</v>
      </c>
      <c r="E108">
        <f t="shared" si="19"/>
        <v>4</v>
      </c>
      <c r="U108">
        <f t="shared" si="35"/>
        <v>50</v>
      </c>
      <c r="V108">
        <f t="shared" si="33"/>
        <v>0.75908558967363982</v>
      </c>
      <c r="W108">
        <f t="shared" si="34"/>
        <v>0.56326801984649999</v>
      </c>
    </row>
    <row r="109" spans="1:23" x14ac:dyDescent="0.25">
      <c r="A109" t="s">
        <v>103</v>
      </c>
      <c r="B109">
        <v>436.64640000000003</v>
      </c>
      <c r="C109">
        <v>31</v>
      </c>
      <c r="D109" t="s">
        <v>354</v>
      </c>
      <c r="E109">
        <f t="shared" si="19"/>
        <v>2</v>
      </c>
      <c r="U109">
        <f t="shared" si="35"/>
        <v>50</v>
      </c>
      <c r="V109">
        <f t="shared" si="33"/>
        <v>0.75908558967363982</v>
      </c>
      <c r="W109">
        <f t="shared" si="34"/>
        <v>0.56326801984649999</v>
      </c>
    </row>
    <row r="110" spans="1:23" x14ac:dyDescent="0.25">
      <c r="A110" t="s">
        <v>104</v>
      </c>
      <c r="B110">
        <v>133.64490000000001</v>
      </c>
      <c r="C110">
        <v>31</v>
      </c>
      <c r="D110" t="s">
        <v>354</v>
      </c>
      <c r="E110">
        <f t="shared" si="19"/>
        <v>2</v>
      </c>
      <c r="U110">
        <f t="shared" si="35"/>
        <v>51</v>
      </c>
      <c r="V110">
        <f t="shared" si="33"/>
        <v>0.75908558967363982</v>
      </c>
      <c r="W110">
        <f t="shared" si="34"/>
        <v>0.56326801984649999</v>
      </c>
    </row>
    <row r="111" spans="1:23" x14ac:dyDescent="0.25">
      <c r="A111" t="s">
        <v>105</v>
      </c>
      <c r="B111">
        <v>25.948499999999999</v>
      </c>
      <c r="C111">
        <v>31</v>
      </c>
      <c r="D111" t="s">
        <v>354</v>
      </c>
      <c r="E111">
        <f t="shared" si="19"/>
        <v>2</v>
      </c>
      <c r="U111">
        <f t="shared" si="35"/>
        <v>51</v>
      </c>
      <c r="V111">
        <f t="shared" si="33"/>
        <v>0.69835874249974861</v>
      </c>
      <c r="W111">
        <f t="shared" si="34"/>
        <v>0.56326801984649999</v>
      </c>
    </row>
    <row r="112" spans="1:23" x14ac:dyDescent="0.25">
      <c r="A112" t="s">
        <v>105</v>
      </c>
      <c r="B112">
        <v>35.096299999999999</v>
      </c>
      <c r="C112">
        <v>31</v>
      </c>
      <c r="D112" t="s">
        <v>354</v>
      </c>
      <c r="E112">
        <f t="shared" si="19"/>
        <v>2</v>
      </c>
      <c r="U112">
        <f t="shared" si="35"/>
        <v>52</v>
      </c>
      <c r="V112">
        <f t="shared" si="33"/>
        <v>0.69835874249974861</v>
      </c>
      <c r="W112">
        <f t="shared" si="34"/>
        <v>0.56326801984649999</v>
      </c>
    </row>
    <row r="113" spans="1:23" x14ac:dyDescent="0.25">
      <c r="A113" t="s">
        <v>106</v>
      </c>
      <c r="B113">
        <v>86.52</v>
      </c>
      <c r="C113">
        <v>31</v>
      </c>
      <c r="D113" t="s">
        <v>354</v>
      </c>
      <c r="E113">
        <f t="shared" si="19"/>
        <v>2</v>
      </c>
      <c r="U113">
        <f t="shared" si="35"/>
        <v>52</v>
      </c>
      <c r="V113">
        <f t="shared" si="33"/>
        <v>0.69835874249974861</v>
      </c>
      <c r="W113">
        <f t="shared" si="34"/>
        <v>0.56326801984649999</v>
      </c>
    </row>
    <row r="114" spans="1:23" x14ac:dyDescent="0.25">
      <c r="A114" t="s">
        <v>107</v>
      </c>
      <c r="B114">
        <v>5.7971000000000004</v>
      </c>
      <c r="C114">
        <v>31</v>
      </c>
      <c r="D114" t="s">
        <v>354</v>
      </c>
      <c r="E114">
        <f t="shared" si="19"/>
        <v>2</v>
      </c>
      <c r="U114">
        <f t="shared" si="35"/>
        <v>53</v>
      </c>
      <c r="V114">
        <f t="shared" si="33"/>
        <v>0.69835874249974861</v>
      </c>
      <c r="W114">
        <f t="shared" si="34"/>
        <v>0.56326801984649999</v>
      </c>
    </row>
    <row r="115" spans="1:23" x14ac:dyDescent="0.25">
      <c r="A115" t="s">
        <v>107</v>
      </c>
      <c r="B115">
        <v>0</v>
      </c>
      <c r="C115">
        <v>31</v>
      </c>
      <c r="D115" t="s">
        <v>354</v>
      </c>
      <c r="E115">
        <f t="shared" si="19"/>
        <v>2</v>
      </c>
      <c r="U115">
        <f t="shared" si="35"/>
        <v>53</v>
      </c>
      <c r="V115">
        <f t="shared" si="33"/>
        <v>0.69835874249974861</v>
      </c>
      <c r="W115">
        <f t="shared" si="34"/>
        <v>0.56326801984649999</v>
      </c>
    </row>
    <row r="116" spans="1:23" x14ac:dyDescent="0.25">
      <c r="A116" t="s">
        <v>108</v>
      </c>
      <c r="B116">
        <v>81.560299999999998</v>
      </c>
      <c r="C116">
        <v>31</v>
      </c>
      <c r="D116" t="s">
        <v>354</v>
      </c>
      <c r="E116">
        <f t="shared" si="19"/>
        <v>2</v>
      </c>
      <c r="U116">
        <f t="shared" si="35"/>
        <v>54</v>
      </c>
      <c r="V116">
        <f t="shared" si="33"/>
        <v>0.69835874249974861</v>
      </c>
      <c r="W116">
        <f t="shared" si="34"/>
        <v>0.56326801984649999</v>
      </c>
    </row>
    <row r="117" spans="1:23" x14ac:dyDescent="0.25">
      <c r="A117" t="s">
        <v>109</v>
      </c>
      <c r="B117">
        <v>21.3033</v>
      </c>
      <c r="C117">
        <v>31</v>
      </c>
      <c r="D117" t="s">
        <v>354</v>
      </c>
      <c r="E117">
        <f t="shared" si="19"/>
        <v>2</v>
      </c>
      <c r="U117">
        <f t="shared" si="35"/>
        <v>54</v>
      </c>
      <c r="V117">
        <f t="shared" si="33"/>
        <v>0.69835874249974861</v>
      </c>
      <c r="W117">
        <f t="shared" si="34"/>
        <v>0.56326801984649999</v>
      </c>
    </row>
    <row r="118" spans="1:23" x14ac:dyDescent="0.25">
      <c r="A118" t="s">
        <v>110</v>
      </c>
      <c r="B118">
        <v>102.15300000000001</v>
      </c>
      <c r="C118">
        <v>30</v>
      </c>
      <c r="D118" t="s">
        <v>354</v>
      </c>
      <c r="E118">
        <f t="shared" si="19"/>
        <v>1</v>
      </c>
      <c r="U118">
        <f t="shared" si="35"/>
        <v>55</v>
      </c>
      <c r="V118">
        <f t="shared" si="33"/>
        <v>0.69835874249974861</v>
      </c>
      <c r="W118">
        <f t="shared" si="34"/>
        <v>0.56326801984649999</v>
      </c>
    </row>
    <row r="119" spans="1:23" x14ac:dyDescent="0.25">
      <c r="A119" t="s">
        <v>111</v>
      </c>
      <c r="B119">
        <v>40.289700000000003</v>
      </c>
      <c r="C119">
        <v>30</v>
      </c>
      <c r="D119" t="s">
        <v>354</v>
      </c>
      <c r="E119">
        <f t="shared" si="19"/>
        <v>1</v>
      </c>
      <c r="U119">
        <f t="shared" si="35"/>
        <v>55</v>
      </c>
      <c r="V119">
        <f t="shared" si="33"/>
        <v>0.69835874249974861</v>
      </c>
      <c r="W119">
        <f t="shared" si="34"/>
        <v>0.56326801984649999</v>
      </c>
    </row>
    <row r="120" spans="1:23" x14ac:dyDescent="0.25">
      <c r="A120" t="s">
        <v>112</v>
      </c>
      <c r="B120">
        <v>86.915899999999993</v>
      </c>
      <c r="C120">
        <v>31</v>
      </c>
      <c r="D120" t="s">
        <v>354</v>
      </c>
      <c r="E120">
        <f t="shared" si="19"/>
        <v>2</v>
      </c>
      <c r="U120">
        <f t="shared" si="35"/>
        <v>56</v>
      </c>
      <c r="V120">
        <f t="shared" si="33"/>
        <v>0.69835874249974861</v>
      </c>
      <c r="W120">
        <f t="shared" si="34"/>
        <v>0.56326801984649999</v>
      </c>
    </row>
    <row r="121" spans="1:23" x14ac:dyDescent="0.25">
      <c r="A121" t="s">
        <v>113</v>
      </c>
      <c r="B121">
        <v>36.715000000000003</v>
      </c>
      <c r="C121">
        <v>31</v>
      </c>
      <c r="D121" t="s">
        <v>354</v>
      </c>
      <c r="E121">
        <f t="shared" si="19"/>
        <v>2</v>
      </c>
      <c r="U121">
        <f t="shared" si="35"/>
        <v>56</v>
      </c>
      <c r="V121">
        <f t="shared" si="33"/>
        <v>0.69835874249974861</v>
      </c>
      <c r="W121">
        <f t="shared" si="34"/>
        <v>0.56326801984649999</v>
      </c>
    </row>
    <row r="122" spans="1:23" x14ac:dyDescent="0.25">
      <c r="A122" t="s">
        <v>114</v>
      </c>
      <c r="B122">
        <v>40.659300000000002</v>
      </c>
      <c r="C122">
        <v>31</v>
      </c>
      <c r="D122" t="s">
        <v>354</v>
      </c>
      <c r="E122">
        <f t="shared" si="19"/>
        <v>2</v>
      </c>
      <c r="U122">
        <f t="shared" si="35"/>
        <v>57</v>
      </c>
      <c r="V122">
        <f t="shared" si="33"/>
        <v>0.69835874249974861</v>
      </c>
      <c r="W122">
        <f t="shared" si="34"/>
        <v>0.56326801984649999</v>
      </c>
    </row>
    <row r="123" spans="1:23" x14ac:dyDescent="0.25">
      <c r="A123" t="s">
        <v>115</v>
      </c>
      <c r="B123">
        <v>102.97669999999999</v>
      </c>
      <c r="C123">
        <v>31</v>
      </c>
      <c r="D123" t="s">
        <v>354</v>
      </c>
      <c r="E123">
        <f t="shared" si="19"/>
        <v>2</v>
      </c>
      <c r="U123">
        <f t="shared" si="35"/>
        <v>57</v>
      </c>
      <c r="V123">
        <f t="shared" si="33"/>
        <v>0.69835874249974861</v>
      </c>
      <c r="W123">
        <f t="shared" si="34"/>
        <v>0.56326801984649999</v>
      </c>
    </row>
    <row r="124" spans="1:23" x14ac:dyDescent="0.25">
      <c r="A124" t="s">
        <v>116</v>
      </c>
      <c r="B124">
        <v>64.715900000000005</v>
      </c>
      <c r="C124">
        <v>30</v>
      </c>
      <c r="D124" t="s">
        <v>354</v>
      </c>
      <c r="E124">
        <f t="shared" si="19"/>
        <v>1</v>
      </c>
      <c r="U124">
        <f t="shared" si="35"/>
        <v>58</v>
      </c>
      <c r="V124">
        <f t="shared" si="33"/>
        <v>0.69835874249974861</v>
      </c>
      <c r="W124">
        <f t="shared" si="34"/>
        <v>0.56326801984649999</v>
      </c>
    </row>
    <row r="125" spans="1:23" x14ac:dyDescent="0.25">
      <c r="A125" t="s">
        <v>117</v>
      </c>
      <c r="B125">
        <v>464.21660000000003</v>
      </c>
      <c r="C125">
        <v>31</v>
      </c>
      <c r="D125" t="s">
        <v>354</v>
      </c>
      <c r="E125">
        <f t="shared" si="19"/>
        <v>2</v>
      </c>
      <c r="U125">
        <f t="shared" si="35"/>
        <v>58</v>
      </c>
      <c r="V125">
        <f t="shared" si="33"/>
        <v>0.69835874249974861</v>
      </c>
      <c r="W125">
        <f t="shared" si="34"/>
        <v>0.56326801984649999</v>
      </c>
    </row>
    <row r="126" spans="1:23" x14ac:dyDescent="0.25">
      <c r="A126" t="s">
        <v>118</v>
      </c>
      <c r="B126">
        <v>100.3096</v>
      </c>
      <c r="C126">
        <v>30</v>
      </c>
      <c r="D126" t="s">
        <v>354</v>
      </c>
      <c r="E126">
        <f t="shared" si="19"/>
        <v>1</v>
      </c>
      <c r="U126">
        <f t="shared" si="35"/>
        <v>59</v>
      </c>
      <c r="V126">
        <f t="shared" si="33"/>
        <v>0.69835874249974861</v>
      </c>
      <c r="W126">
        <f t="shared" si="34"/>
        <v>0.56326801984649999</v>
      </c>
    </row>
    <row r="127" spans="1:23" x14ac:dyDescent="0.25">
      <c r="A127" t="s">
        <v>119</v>
      </c>
      <c r="B127">
        <v>226.3083</v>
      </c>
      <c r="C127">
        <v>31</v>
      </c>
      <c r="D127" t="s">
        <v>354</v>
      </c>
      <c r="E127">
        <f t="shared" si="19"/>
        <v>2</v>
      </c>
      <c r="U127">
        <f t="shared" si="35"/>
        <v>59</v>
      </c>
      <c r="V127">
        <f t="shared" si="33"/>
        <v>0.69835874249974861</v>
      </c>
      <c r="W127">
        <f t="shared" si="34"/>
        <v>0.56326801984649999</v>
      </c>
    </row>
    <row r="128" spans="1:23" x14ac:dyDescent="0.25">
      <c r="A128" t="s">
        <v>120</v>
      </c>
      <c r="B128">
        <v>176.8186</v>
      </c>
      <c r="C128">
        <v>30</v>
      </c>
      <c r="D128" t="s">
        <v>354</v>
      </c>
      <c r="E128">
        <f t="shared" si="19"/>
        <v>1</v>
      </c>
      <c r="U128">
        <f t="shared" si="35"/>
        <v>60</v>
      </c>
      <c r="V128">
        <f t="shared" si="33"/>
        <v>0.69835874249974861</v>
      </c>
      <c r="W128">
        <f t="shared" si="34"/>
        <v>0.56326801984649999</v>
      </c>
    </row>
    <row r="129" spans="1:23" x14ac:dyDescent="0.25">
      <c r="A129" t="s">
        <v>121</v>
      </c>
      <c r="B129">
        <v>151.97569999999999</v>
      </c>
      <c r="C129">
        <v>30</v>
      </c>
      <c r="D129" t="s">
        <v>354</v>
      </c>
      <c r="E129">
        <f t="shared" si="19"/>
        <v>1</v>
      </c>
      <c r="U129">
        <f t="shared" si="35"/>
        <v>60</v>
      </c>
      <c r="V129">
        <f t="shared" si="33"/>
        <v>0.69835874249974861</v>
      </c>
      <c r="W129">
        <f t="shared" si="34"/>
        <v>0.56326801984649999</v>
      </c>
    </row>
    <row r="130" spans="1:23" x14ac:dyDescent="0.25">
      <c r="A130" t="s">
        <v>122</v>
      </c>
      <c r="B130">
        <v>149.12280000000001</v>
      </c>
      <c r="C130">
        <v>30</v>
      </c>
      <c r="D130" t="s">
        <v>354</v>
      </c>
      <c r="E130">
        <f t="shared" si="19"/>
        <v>1</v>
      </c>
      <c r="U130">
        <f t="shared" si="35"/>
        <v>61</v>
      </c>
      <c r="V130">
        <f t="shared" si="33"/>
        <v>0.69835874249974861</v>
      </c>
      <c r="W130">
        <f t="shared" si="34"/>
        <v>0.56326801984649999</v>
      </c>
    </row>
    <row r="131" spans="1:23" x14ac:dyDescent="0.25">
      <c r="A131" t="s">
        <v>123</v>
      </c>
      <c r="B131">
        <v>11.029400000000001</v>
      </c>
      <c r="C131">
        <v>31</v>
      </c>
      <c r="D131" t="s">
        <v>354</v>
      </c>
      <c r="E131">
        <f t="shared" ref="E131:E194" si="38">INT((C131-1)/30)+1</f>
        <v>2</v>
      </c>
      <c r="U131">
        <f t="shared" si="35"/>
        <v>61</v>
      </c>
      <c r="V131">
        <f t="shared" si="33"/>
        <v>0.69835874249974861</v>
      </c>
      <c r="W131">
        <f t="shared" si="34"/>
        <v>0.56326801984649999</v>
      </c>
    </row>
    <row r="132" spans="1:23" x14ac:dyDescent="0.25">
      <c r="A132" t="s">
        <v>124</v>
      </c>
      <c r="B132">
        <v>78.459299999999999</v>
      </c>
      <c r="C132">
        <v>31</v>
      </c>
      <c r="D132" t="s">
        <v>354</v>
      </c>
      <c r="E132">
        <f t="shared" si="38"/>
        <v>2</v>
      </c>
      <c r="U132">
        <f t="shared" si="35"/>
        <v>62</v>
      </c>
      <c r="V132">
        <f t="shared" si="33"/>
        <v>0.69835874249974861</v>
      </c>
      <c r="W132">
        <f t="shared" si="34"/>
        <v>0.56326801984649999</v>
      </c>
    </row>
    <row r="133" spans="1:23" x14ac:dyDescent="0.25">
      <c r="A133" t="s">
        <v>125</v>
      </c>
      <c r="B133">
        <v>59.145699999999998</v>
      </c>
      <c r="C133">
        <v>28</v>
      </c>
      <c r="D133" t="s">
        <v>354</v>
      </c>
      <c r="E133">
        <f t="shared" si="38"/>
        <v>1</v>
      </c>
      <c r="U133">
        <f t="shared" si="35"/>
        <v>62</v>
      </c>
      <c r="V133">
        <f t="shared" si="33"/>
        <v>0.65956103458309601</v>
      </c>
      <c r="W133">
        <f t="shared" si="34"/>
        <v>0.56326801984649999</v>
      </c>
    </row>
    <row r="134" spans="1:23" x14ac:dyDescent="0.25">
      <c r="A134" t="s">
        <v>126</v>
      </c>
      <c r="B134">
        <v>125.9263</v>
      </c>
      <c r="C134">
        <v>31</v>
      </c>
      <c r="D134" t="s">
        <v>354</v>
      </c>
      <c r="E134">
        <f t="shared" si="38"/>
        <v>2</v>
      </c>
      <c r="U134">
        <f t="shared" si="35"/>
        <v>63</v>
      </c>
      <c r="V134">
        <f t="shared" si="33"/>
        <v>0.65956103458309601</v>
      </c>
      <c r="W134">
        <f t="shared" si="34"/>
        <v>0.56326801984649999</v>
      </c>
    </row>
    <row r="135" spans="1:23" x14ac:dyDescent="0.25">
      <c r="A135" t="s">
        <v>127</v>
      </c>
      <c r="B135">
        <v>38.305599999999998</v>
      </c>
      <c r="C135">
        <v>30</v>
      </c>
      <c r="D135" t="s">
        <v>354</v>
      </c>
      <c r="E135">
        <f t="shared" si="38"/>
        <v>1</v>
      </c>
      <c r="U135">
        <f t="shared" si="35"/>
        <v>63</v>
      </c>
      <c r="V135">
        <f t="shared" si="33"/>
        <v>0.65956103458309601</v>
      </c>
      <c r="W135">
        <f t="shared" si="34"/>
        <v>0.49285951736568751</v>
      </c>
    </row>
    <row r="136" spans="1:23" x14ac:dyDescent="0.25">
      <c r="A136" t="s">
        <v>128</v>
      </c>
      <c r="B136">
        <v>81.695899999999995</v>
      </c>
      <c r="C136">
        <v>31</v>
      </c>
      <c r="D136" t="s">
        <v>354</v>
      </c>
      <c r="E136">
        <f t="shared" si="38"/>
        <v>2</v>
      </c>
      <c r="U136">
        <f t="shared" si="35"/>
        <v>64</v>
      </c>
      <c r="V136">
        <f t="shared" si="33"/>
        <v>0.65956103458309601</v>
      </c>
      <c r="W136">
        <f t="shared" si="34"/>
        <v>0.49285951736568751</v>
      </c>
    </row>
    <row r="137" spans="1:23" x14ac:dyDescent="0.25">
      <c r="A137" t="s">
        <v>129</v>
      </c>
      <c r="B137">
        <v>160.7894</v>
      </c>
      <c r="C137">
        <v>30</v>
      </c>
      <c r="D137" t="s">
        <v>354</v>
      </c>
      <c r="E137">
        <f t="shared" si="38"/>
        <v>1</v>
      </c>
      <c r="U137">
        <f t="shared" si="35"/>
        <v>64</v>
      </c>
      <c r="V137">
        <f t="shared" si="33"/>
        <v>0.65956103458309601</v>
      </c>
      <c r="W137">
        <f t="shared" si="34"/>
        <v>0.42245101488487496</v>
      </c>
    </row>
    <row r="138" spans="1:23" x14ac:dyDescent="0.25">
      <c r="A138" t="s">
        <v>130</v>
      </c>
      <c r="B138">
        <v>268.36160000000001</v>
      </c>
      <c r="C138">
        <v>31</v>
      </c>
      <c r="D138" t="s">
        <v>354</v>
      </c>
      <c r="E138">
        <f t="shared" si="38"/>
        <v>2</v>
      </c>
      <c r="U138">
        <f t="shared" si="35"/>
        <v>65</v>
      </c>
      <c r="V138">
        <f t="shared" si="33"/>
        <v>0.65956103458309601</v>
      </c>
      <c r="W138">
        <f t="shared" si="34"/>
        <v>0.42245101488487496</v>
      </c>
    </row>
    <row r="139" spans="1:23" x14ac:dyDescent="0.25">
      <c r="A139" t="s">
        <v>131</v>
      </c>
      <c r="B139">
        <v>145.34440000000001</v>
      </c>
      <c r="C139">
        <v>30</v>
      </c>
      <c r="D139" t="s">
        <v>354</v>
      </c>
      <c r="E139">
        <f t="shared" si="38"/>
        <v>1</v>
      </c>
      <c r="U139">
        <f t="shared" si="35"/>
        <v>65</v>
      </c>
      <c r="V139">
        <f t="shared" ref="V139:V202" si="39">IF(U139&gt;U138, V138, LOOKUP(U139, $G$3:$G$105, $L$3:$L$105))</f>
        <v>0.65956103458309601</v>
      </c>
      <c r="W139">
        <f t="shared" ref="W139:W202" si="40">IF(U139&gt;U138, W138, LOOKUP(U139, $G$3:$G$105, $Q$3:$Q$105))</f>
        <v>0.42245101488487496</v>
      </c>
    </row>
    <row r="140" spans="1:23" x14ac:dyDescent="0.25">
      <c r="A140" t="s">
        <v>132</v>
      </c>
      <c r="B140">
        <v>15.2478</v>
      </c>
      <c r="C140">
        <v>30</v>
      </c>
      <c r="D140" t="s">
        <v>354</v>
      </c>
      <c r="E140">
        <f t="shared" si="38"/>
        <v>1</v>
      </c>
      <c r="U140">
        <f t="shared" ref="U140:U203" si="41">IF(U139&gt;U138, U139, U139+1)</f>
        <v>66</v>
      </c>
      <c r="V140">
        <f t="shared" si="39"/>
        <v>0.65956103458309601</v>
      </c>
      <c r="W140">
        <f t="shared" si="40"/>
        <v>0.42245101488487496</v>
      </c>
    </row>
    <row r="141" spans="1:23" x14ac:dyDescent="0.25">
      <c r="A141" t="s">
        <v>133</v>
      </c>
      <c r="B141">
        <v>15.801399999999999</v>
      </c>
      <c r="C141">
        <v>31</v>
      </c>
      <c r="D141" t="s">
        <v>354</v>
      </c>
      <c r="E141">
        <f t="shared" si="38"/>
        <v>2</v>
      </c>
      <c r="U141">
        <f t="shared" si="41"/>
        <v>66</v>
      </c>
      <c r="V141">
        <f t="shared" si="39"/>
        <v>0.65956103458309601</v>
      </c>
      <c r="W141">
        <f t="shared" si="40"/>
        <v>0.42245101488487496</v>
      </c>
    </row>
    <row r="142" spans="1:23" x14ac:dyDescent="0.25">
      <c r="A142" t="s">
        <v>134</v>
      </c>
      <c r="B142">
        <v>72.353499999999997</v>
      </c>
      <c r="C142">
        <v>30</v>
      </c>
      <c r="D142" t="s">
        <v>354</v>
      </c>
      <c r="E142">
        <f t="shared" si="38"/>
        <v>1</v>
      </c>
      <c r="U142">
        <f t="shared" si="41"/>
        <v>67</v>
      </c>
      <c r="V142">
        <f t="shared" si="39"/>
        <v>0.65956103458309601</v>
      </c>
      <c r="W142">
        <f t="shared" si="40"/>
        <v>0.42245101488487496</v>
      </c>
    </row>
    <row r="143" spans="1:23" x14ac:dyDescent="0.25">
      <c r="A143" t="s">
        <v>135</v>
      </c>
      <c r="B143">
        <v>105.0081</v>
      </c>
      <c r="C143">
        <v>30</v>
      </c>
      <c r="D143" t="s">
        <v>354</v>
      </c>
      <c r="E143">
        <f t="shared" si="38"/>
        <v>1</v>
      </c>
      <c r="U143">
        <f t="shared" si="41"/>
        <v>67</v>
      </c>
      <c r="V143">
        <f t="shared" si="39"/>
        <v>0.65956103458309601</v>
      </c>
      <c r="W143">
        <f t="shared" si="40"/>
        <v>0.42245101488487496</v>
      </c>
    </row>
    <row r="144" spans="1:23" x14ac:dyDescent="0.25">
      <c r="A144" t="s">
        <v>136</v>
      </c>
      <c r="B144">
        <v>508.34399999999999</v>
      </c>
      <c r="C144">
        <v>31</v>
      </c>
      <c r="D144" t="s">
        <v>354</v>
      </c>
      <c r="E144">
        <f t="shared" si="38"/>
        <v>2</v>
      </c>
      <c r="U144">
        <f t="shared" si="41"/>
        <v>68</v>
      </c>
      <c r="V144">
        <f t="shared" si="39"/>
        <v>0.65956103458309601</v>
      </c>
      <c r="W144">
        <f t="shared" si="40"/>
        <v>0.42245101488487496</v>
      </c>
    </row>
    <row r="145" spans="1:23" x14ac:dyDescent="0.25">
      <c r="A145" t="s">
        <v>137</v>
      </c>
      <c r="B145">
        <v>1662.6297999999999</v>
      </c>
      <c r="C145">
        <v>61</v>
      </c>
      <c r="D145" t="s">
        <v>354</v>
      </c>
      <c r="E145">
        <f t="shared" si="38"/>
        <v>3</v>
      </c>
      <c r="U145">
        <f t="shared" si="41"/>
        <v>68</v>
      </c>
      <c r="V145">
        <f t="shared" si="39"/>
        <v>0.65956103458309601</v>
      </c>
      <c r="W145">
        <f t="shared" si="40"/>
        <v>0.42245101488487496</v>
      </c>
    </row>
    <row r="146" spans="1:23" x14ac:dyDescent="0.25">
      <c r="A146" t="s">
        <v>138</v>
      </c>
      <c r="B146">
        <v>140.64230000000001</v>
      </c>
      <c r="C146">
        <v>30</v>
      </c>
      <c r="D146" t="s">
        <v>354</v>
      </c>
      <c r="E146">
        <f t="shared" si="38"/>
        <v>1</v>
      </c>
      <c r="U146">
        <f t="shared" si="41"/>
        <v>69</v>
      </c>
      <c r="V146">
        <f t="shared" si="39"/>
        <v>0.65956103458309601</v>
      </c>
      <c r="W146">
        <f t="shared" si="40"/>
        <v>0.42245101488487496</v>
      </c>
    </row>
    <row r="147" spans="1:23" x14ac:dyDescent="0.25">
      <c r="A147" t="s">
        <v>139</v>
      </c>
      <c r="B147">
        <v>56.818199999999997</v>
      </c>
      <c r="C147">
        <v>31</v>
      </c>
      <c r="D147" t="s">
        <v>354</v>
      </c>
      <c r="E147">
        <f t="shared" si="38"/>
        <v>2</v>
      </c>
      <c r="U147">
        <f t="shared" si="41"/>
        <v>69</v>
      </c>
      <c r="V147">
        <f t="shared" si="39"/>
        <v>0.65956103458309601</v>
      </c>
      <c r="W147">
        <f t="shared" si="40"/>
        <v>0.42245101488487496</v>
      </c>
    </row>
    <row r="148" spans="1:23" x14ac:dyDescent="0.25">
      <c r="A148" t="s">
        <v>140</v>
      </c>
      <c r="B148">
        <v>15.6107</v>
      </c>
      <c r="C148">
        <v>30</v>
      </c>
      <c r="D148" t="s">
        <v>354</v>
      </c>
      <c r="E148">
        <f t="shared" si="38"/>
        <v>1</v>
      </c>
      <c r="U148">
        <f t="shared" si="41"/>
        <v>70</v>
      </c>
      <c r="V148">
        <f t="shared" si="39"/>
        <v>0.65956103458309601</v>
      </c>
      <c r="W148">
        <f t="shared" si="40"/>
        <v>0.42245101488487496</v>
      </c>
    </row>
    <row r="149" spans="1:23" x14ac:dyDescent="0.25">
      <c r="A149" t="s">
        <v>141</v>
      </c>
      <c r="B149">
        <v>225</v>
      </c>
      <c r="C149">
        <v>31</v>
      </c>
      <c r="D149" t="s">
        <v>354</v>
      </c>
      <c r="E149">
        <f t="shared" si="38"/>
        <v>2</v>
      </c>
      <c r="U149">
        <f t="shared" si="41"/>
        <v>70</v>
      </c>
      <c r="V149">
        <f t="shared" si="39"/>
        <v>0.65956103458309601</v>
      </c>
      <c r="W149">
        <f t="shared" si="40"/>
        <v>0.42245101488487496</v>
      </c>
    </row>
    <row r="150" spans="1:23" x14ac:dyDescent="0.25">
      <c r="A150" t="s">
        <v>142</v>
      </c>
      <c r="B150">
        <v>28.410799999999998</v>
      </c>
      <c r="C150">
        <v>31</v>
      </c>
      <c r="D150" t="s">
        <v>354</v>
      </c>
      <c r="E150">
        <f t="shared" si="38"/>
        <v>2</v>
      </c>
      <c r="U150">
        <f t="shared" si="41"/>
        <v>71</v>
      </c>
      <c r="V150">
        <f t="shared" si="39"/>
        <v>0.65956103458309601</v>
      </c>
      <c r="W150">
        <f t="shared" si="40"/>
        <v>0.42245101488487496</v>
      </c>
    </row>
    <row r="151" spans="1:23" x14ac:dyDescent="0.25">
      <c r="A151" t="s">
        <v>143</v>
      </c>
      <c r="B151">
        <v>17.587900000000001</v>
      </c>
      <c r="C151">
        <v>31</v>
      </c>
      <c r="D151" t="s">
        <v>354</v>
      </c>
      <c r="E151">
        <f t="shared" si="38"/>
        <v>2</v>
      </c>
      <c r="U151">
        <f t="shared" si="41"/>
        <v>71</v>
      </c>
      <c r="V151">
        <f t="shared" si="39"/>
        <v>0.65956103458309601</v>
      </c>
      <c r="W151">
        <f t="shared" si="40"/>
        <v>0.42245101488487496</v>
      </c>
    </row>
    <row r="152" spans="1:23" x14ac:dyDescent="0.25">
      <c r="A152" t="s">
        <v>144</v>
      </c>
      <c r="B152">
        <v>217.3913</v>
      </c>
      <c r="C152">
        <v>31</v>
      </c>
      <c r="D152" t="s">
        <v>354</v>
      </c>
      <c r="E152">
        <f t="shared" si="38"/>
        <v>2</v>
      </c>
      <c r="U152">
        <f t="shared" si="41"/>
        <v>72</v>
      </c>
      <c r="V152">
        <f t="shared" si="39"/>
        <v>0.65956103458309601</v>
      </c>
      <c r="W152">
        <f t="shared" si="40"/>
        <v>0.42245101488487496</v>
      </c>
    </row>
    <row r="153" spans="1:23" x14ac:dyDescent="0.25">
      <c r="A153" t="s">
        <v>145</v>
      </c>
      <c r="B153">
        <v>123.608</v>
      </c>
      <c r="C153">
        <v>30</v>
      </c>
      <c r="D153" t="s">
        <v>354</v>
      </c>
      <c r="E153">
        <f t="shared" si="38"/>
        <v>1</v>
      </c>
      <c r="U153">
        <f t="shared" si="41"/>
        <v>72</v>
      </c>
      <c r="V153">
        <f t="shared" si="39"/>
        <v>0.65956103458309601</v>
      </c>
      <c r="W153">
        <f t="shared" si="40"/>
        <v>0.42245101488487496</v>
      </c>
    </row>
    <row r="154" spans="1:23" x14ac:dyDescent="0.25">
      <c r="A154" t="s">
        <v>146</v>
      </c>
      <c r="B154">
        <v>75.2577</v>
      </c>
      <c r="C154">
        <v>31</v>
      </c>
      <c r="D154" t="s">
        <v>354</v>
      </c>
      <c r="E154">
        <f t="shared" si="38"/>
        <v>2</v>
      </c>
      <c r="U154">
        <f t="shared" si="41"/>
        <v>73</v>
      </c>
      <c r="V154">
        <f t="shared" si="39"/>
        <v>0.65956103458309601</v>
      </c>
      <c r="W154">
        <f t="shared" si="40"/>
        <v>0.42245101488487496</v>
      </c>
    </row>
    <row r="155" spans="1:23" x14ac:dyDescent="0.25">
      <c r="A155" t="s">
        <v>147</v>
      </c>
      <c r="B155">
        <v>18.619900000000001</v>
      </c>
      <c r="C155">
        <v>30</v>
      </c>
      <c r="D155" t="s">
        <v>354</v>
      </c>
      <c r="E155">
        <f t="shared" si="38"/>
        <v>1</v>
      </c>
      <c r="U155">
        <f t="shared" si="41"/>
        <v>73</v>
      </c>
      <c r="V155">
        <f t="shared" si="39"/>
        <v>0.65956103458309601</v>
      </c>
      <c r="W155">
        <f t="shared" si="40"/>
        <v>0.42245101488487496</v>
      </c>
    </row>
    <row r="156" spans="1:23" x14ac:dyDescent="0.25">
      <c r="A156" t="s">
        <v>148</v>
      </c>
      <c r="B156">
        <v>30.554600000000001</v>
      </c>
      <c r="C156">
        <v>31</v>
      </c>
      <c r="D156" t="s">
        <v>354</v>
      </c>
      <c r="E156">
        <f t="shared" si="38"/>
        <v>2</v>
      </c>
      <c r="U156">
        <f t="shared" si="41"/>
        <v>74</v>
      </c>
      <c r="V156">
        <f t="shared" si="39"/>
        <v>0.65956103458309601</v>
      </c>
      <c r="W156">
        <f t="shared" si="40"/>
        <v>0.42245101488487496</v>
      </c>
    </row>
    <row r="157" spans="1:23" x14ac:dyDescent="0.25">
      <c r="A157" t="s">
        <v>149</v>
      </c>
      <c r="B157">
        <v>284.51049999999998</v>
      </c>
      <c r="C157">
        <v>31</v>
      </c>
      <c r="D157" t="s">
        <v>354</v>
      </c>
      <c r="E157">
        <f t="shared" si="38"/>
        <v>2</v>
      </c>
      <c r="U157">
        <f t="shared" si="41"/>
        <v>74</v>
      </c>
      <c r="V157">
        <f t="shared" si="39"/>
        <v>0.65956103458309601</v>
      </c>
      <c r="W157">
        <f t="shared" si="40"/>
        <v>0.42245101488487496</v>
      </c>
    </row>
    <row r="158" spans="1:23" x14ac:dyDescent="0.25">
      <c r="A158" t="s">
        <v>150</v>
      </c>
      <c r="B158">
        <v>44.834299999999999</v>
      </c>
      <c r="C158">
        <v>30</v>
      </c>
      <c r="D158" t="s">
        <v>354</v>
      </c>
      <c r="E158">
        <f t="shared" si="38"/>
        <v>1</v>
      </c>
      <c r="U158">
        <f t="shared" si="41"/>
        <v>75</v>
      </c>
      <c r="V158">
        <f t="shared" si="39"/>
        <v>0.65956103458309601</v>
      </c>
      <c r="W158">
        <f t="shared" si="40"/>
        <v>0.42245101488487496</v>
      </c>
    </row>
    <row r="159" spans="1:23" x14ac:dyDescent="0.25">
      <c r="A159" t="s">
        <v>151</v>
      </c>
      <c r="B159">
        <v>72.587500000000006</v>
      </c>
      <c r="C159">
        <v>30</v>
      </c>
      <c r="D159" t="s">
        <v>354</v>
      </c>
      <c r="E159">
        <f t="shared" si="38"/>
        <v>1</v>
      </c>
      <c r="U159">
        <f t="shared" si="41"/>
        <v>75</v>
      </c>
      <c r="V159">
        <f t="shared" si="39"/>
        <v>0.65956103458309601</v>
      </c>
      <c r="W159">
        <f t="shared" si="40"/>
        <v>0.42245101488487496</v>
      </c>
    </row>
    <row r="160" spans="1:23" x14ac:dyDescent="0.25">
      <c r="A160" t="s">
        <v>152</v>
      </c>
      <c r="B160">
        <v>15.6485</v>
      </c>
      <c r="C160">
        <v>31</v>
      </c>
      <c r="D160" t="s">
        <v>354</v>
      </c>
      <c r="E160">
        <f t="shared" si="38"/>
        <v>2</v>
      </c>
      <c r="U160">
        <f t="shared" si="41"/>
        <v>76</v>
      </c>
      <c r="V160">
        <f t="shared" si="39"/>
        <v>0.65956103458309601</v>
      </c>
      <c r="W160">
        <f t="shared" si="40"/>
        <v>0.42245101488487496</v>
      </c>
    </row>
    <row r="161" spans="1:23" x14ac:dyDescent="0.25">
      <c r="A161" t="s">
        <v>153</v>
      </c>
      <c r="B161">
        <v>52.528199999999998</v>
      </c>
      <c r="C161">
        <v>31</v>
      </c>
      <c r="D161" t="s">
        <v>354</v>
      </c>
      <c r="E161">
        <f t="shared" si="38"/>
        <v>2</v>
      </c>
      <c r="U161">
        <f t="shared" si="41"/>
        <v>76</v>
      </c>
      <c r="V161">
        <f t="shared" si="39"/>
        <v>0.65956103458309601</v>
      </c>
      <c r="W161">
        <f t="shared" si="40"/>
        <v>0.42245101488487496</v>
      </c>
    </row>
    <row r="162" spans="1:23" x14ac:dyDescent="0.25">
      <c r="A162" t="s">
        <v>154</v>
      </c>
      <c r="B162">
        <v>69.992000000000004</v>
      </c>
      <c r="C162">
        <v>31</v>
      </c>
      <c r="D162" t="s">
        <v>354</v>
      </c>
      <c r="E162">
        <f t="shared" si="38"/>
        <v>2</v>
      </c>
      <c r="U162">
        <f t="shared" si="41"/>
        <v>77</v>
      </c>
      <c r="V162">
        <f t="shared" si="39"/>
        <v>0.65956103458309601</v>
      </c>
      <c r="W162">
        <f t="shared" si="40"/>
        <v>0.42245101488487496</v>
      </c>
    </row>
    <row r="163" spans="1:23" x14ac:dyDescent="0.25">
      <c r="A163" t="s">
        <v>155</v>
      </c>
      <c r="B163">
        <v>28.017700000000001</v>
      </c>
      <c r="C163">
        <v>31</v>
      </c>
      <c r="D163" t="s">
        <v>354</v>
      </c>
      <c r="E163">
        <f t="shared" si="38"/>
        <v>2</v>
      </c>
      <c r="U163">
        <f t="shared" si="41"/>
        <v>77</v>
      </c>
      <c r="V163">
        <f t="shared" si="39"/>
        <v>0.65956103458309601</v>
      </c>
      <c r="W163">
        <f t="shared" si="40"/>
        <v>0.42245101488487496</v>
      </c>
    </row>
    <row r="164" spans="1:23" x14ac:dyDescent="0.25">
      <c r="A164" t="s">
        <v>156</v>
      </c>
      <c r="B164">
        <v>38.520800000000001</v>
      </c>
      <c r="C164">
        <v>31</v>
      </c>
      <c r="D164" t="s">
        <v>354</v>
      </c>
      <c r="E164">
        <f t="shared" si="38"/>
        <v>2</v>
      </c>
      <c r="U164">
        <f t="shared" si="41"/>
        <v>78</v>
      </c>
      <c r="V164">
        <f t="shared" si="39"/>
        <v>0.65956103458309601</v>
      </c>
      <c r="W164">
        <f t="shared" si="40"/>
        <v>0.42245101488487496</v>
      </c>
    </row>
    <row r="165" spans="1:23" x14ac:dyDescent="0.25">
      <c r="A165" t="s">
        <v>157</v>
      </c>
      <c r="B165">
        <v>84.656700000000001</v>
      </c>
      <c r="C165">
        <v>29</v>
      </c>
      <c r="D165" t="s">
        <v>354</v>
      </c>
      <c r="E165">
        <f t="shared" si="38"/>
        <v>1</v>
      </c>
      <c r="U165">
        <f t="shared" si="41"/>
        <v>78</v>
      </c>
      <c r="V165">
        <f t="shared" si="39"/>
        <v>0.65956103458309601</v>
      </c>
      <c r="W165">
        <f t="shared" si="40"/>
        <v>0.42245101488487496</v>
      </c>
    </row>
    <row r="166" spans="1:23" x14ac:dyDescent="0.25">
      <c r="A166" t="s">
        <v>158</v>
      </c>
      <c r="B166">
        <v>7.9576000000000002</v>
      </c>
      <c r="C166">
        <v>31</v>
      </c>
      <c r="D166" t="s">
        <v>354</v>
      </c>
      <c r="E166">
        <f t="shared" si="38"/>
        <v>2</v>
      </c>
      <c r="U166">
        <f t="shared" si="41"/>
        <v>79</v>
      </c>
      <c r="V166">
        <f t="shared" si="39"/>
        <v>0.65956103458309601</v>
      </c>
      <c r="W166">
        <f t="shared" si="40"/>
        <v>0.42245101488487496</v>
      </c>
    </row>
    <row r="167" spans="1:23" x14ac:dyDescent="0.25">
      <c r="A167" t="s">
        <v>159</v>
      </c>
      <c r="B167">
        <v>106.41630000000001</v>
      </c>
      <c r="C167">
        <v>31</v>
      </c>
      <c r="D167" t="s">
        <v>354</v>
      </c>
      <c r="E167">
        <f t="shared" si="38"/>
        <v>2</v>
      </c>
      <c r="U167">
        <f t="shared" si="41"/>
        <v>79</v>
      </c>
      <c r="V167">
        <f t="shared" si="39"/>
        <v>0.65956103458309601</v>
      </c>
      <c r="W167">
        <f t="shared" si="40"/>
        <v>0.42245101488487496</v>
      </c>
    </row>
    <row r="168" spans="1:23" x14ac:dyDescent="0.25">
      <c r="A168" t="s">
        <v>160</v>
      </c>
      <c r="B168">
        <v>9.4451000000000001</v>
      </c>
      <c r="C168">
        <v>31</v>
      </c>
      <c r="D168" t="s">
        <v>354</v>
      </c>
      <c r="E168">
        <f t="shared" si="38"/>
        <v>2</v>
      </c>
      <c r="U168">
        <f t="shared" si="41"/>
        <v>80</v>
      </c>
      <c r="V168">
        <f t="shared" si="39"/>
        <v>0.65956103458309601</v>
      </c>
      <c r="W168">
        <f t="shared" si="40"/>
        <v>0.42245101488487496</v>
      </c>
    </row>
    <row r="169" spans="1:23" x14ac:dyDescent="0.25">
      <c r="A169" t="s">
        <v>161</v>
      </c>
      <c r="B169">
        <v>8.2645</v>
      </c>
      <c r="C169">
        <v>30</v>
      </c>
      <c r="D169" t="s">
        <v>354</v>
      </c>
      <c r="E169">
        <f t="shared" si="38"/>
        <v>1</v>
      </c>
      <c r="U169">
        <f t="shared" si="41"/>
        <v>80</v>
      </c>
      <c r="V169">
        <f t="shared" si="39"/>
        <v>0.65956103458309601</v>
      </c>
      <c r="W169">
        <f t="shared" si="40"/>
        <v>0.42245101488487496</v>
      </c>
    </row>
    <row r="170" spans="1:23" x14ac:dyDescent="0.25">
      <c r="A170" t="s">
        <v>161</v>
      </c>
      <c r="B170">
        <v>10.7477</v>
      </c>
      <c r="C170">
        <v>30</v>
      </c>
      <c r="D170" t="s">
        <v>354</v>
      </c>
      <c r="E170">
        <f t="shared" si="38"/>
        <v>1</v>
      </c>
      <c r="U170">
        <f t="shared" si="41"/>
        <v>81</v>
      </c>
      <c r="V170">
        <f t="shared" si="39"/>
        <v>0.65956103458309601</v>
      </c>
      <c r="W170">
        <f t="shared" si="40"/>
        <v>0.42245101488487496</v>
      </c>
    </row>
    <row r="171" spans="1:23" x14ac:dyDescent="0.25">
      <c r="A171" t="s">
        <v>162</v>
      </c>
      <c r="B171">
        <v>4.8720999999999997</v>
      </c>
      <c r="C171">
        <v>61</v>
      </c>
      <c r="D171" t="s">
        <v>354</v>
      </c>
      <c r="E171">
        <f t="shared" si="38"/>
        <v>3</v>
      </c>
      <c r="U171">
        <f t="shared" si="41"/>
        <v>81</v>
      </c>
      <c r="V171">
        <f t="shared" si="39"/>
        <v>0.65956103458309601</v>
      </c>
      <c r="W171">
        <f t="shared" si="40"/>
        <v>0.42245101488487496</v>
      </c>
    </row>
    <row r="172" spans="1:23" x14ac:dyDescent="0.25">
      <c r="A172" t="s">
        <v>163</v>
      </c>
      <c r="B172">
        <v>13.5593</v>
      </c>
      <c r="C172">
        <v>120</v>
      </c>
      <c r="D172" t="s">
        <v>354</v>
      </c>
      <c r="E172">
        <f t="shared" si="38"/>
        <v>4</v>
      </c>
      <c r="U172">
        <f t="shared" si="41"/>
        <v>82</v>
      </c>
      <c r="V172">
        <f t="shared" si="39"/>
        <v>0.65956103458309601</v>
      </c>
      <c r="W172">
        <f t="shared" si="40"/>
        <v>0.42245101488487496</v>
      </c>
    </row>
    <row r="173" spans="1:23" x14ac:dyDescent="0.25">
      <c r="A173" t="s">
        <v>164</v>
      </c>
      <c r="B173">
        <v>142.0992</v>
      </c>
      <c r="C173">
        <v>31</v>
      </c>
      <c r="D173" t="s">
        <v>354</v>
      </c>
      <c r="E173">
        <f t="shared" si="38"/>
        <v>2</v>
      </c>
      <c r="U173">
        <f t="shared" si="41"/>
        <v>82</v>
      </c>
      <c r="V173">
        <f t="shared" si="39"/>
        <v>0.65956103458309601</v>
      </c>
      <c r="W173">
        <f t="shared" si="40"/>
        <v>0.42245101488487496</v>
      </c>
    </row>
    <row r="174" spans="1:23" x14ac:dyDescent="0.25">
      <c r="A174" t="s">
        <v>165</v>
      </c>
      <c r="B174">
        <v>11.6928</v>
      </c>
      <c r="C174">
        <v>28</v>
      </c>
      <c r="D174" t="s">
        <v>354</v>
      </c>
      <c r="E174">
        <f t="shared" si="38"/>
        <v>1</v>
      </c>
      <c r="U174">
        <f t="shared" si="41"/>
        <v>83</v>
      </c>
      <c r="V174">
        <f t="shared" si="39"/>
        <v>0.65956103458309601</v>
      </c>
      <c r="W174">
        <f t="shared" si="40"/>
        <v>0.42245101488487496</v>
      </c>
    </row>
    <row r="175" spans="1:23" x14ac:dyDescent="0.25">
      <c r="A175" t="s">
        <v>166</v>
      </c>
      <c r="B175">
        <v>23.373000000000001</v>
      </c>
      <c r="C175">
        <v>31</v>
      </c>
      <c r="D175" t="s">
        <v>354</v>
      </c>
      <c r="E175">
        <f t="shared" si="38"/>
        <v>2</v>
      </c>
      <c r="U175">
        <f t="shared" si="41"/>
        <v>83</v>
      </c>
      <c r="V175">
        <f t="shared" si="39"/>
        <v>0.61244953211287478</v>
      </c>
      <c r="W175">
        <f t="shared" si="40"/>
        <v>0.42245101488487496</v>
      </c>
    </row>
    <row r="176" spans="1:23" x14ac:dyDescent="0.25">
      <c r="A176" t="s">
        <v>167</v>
      </c>
      <c r="B176">
        <v>2.145</v>
      </c>
      <c r="C176">
        <v>31</v>
      </c>
      <c r="D176" t="s">
        <v>354</v>
      </c>
      <c r="E176">
        <f t="shared" si="38"/>
        <v>2</v>
      </c>
      <c r="U176">
        <f t="shared" si="41"/>
        <v>84</v>
      </c>
      <c r="V176">
        <f t="shared" si="39"/>
        <v>0.61244953211287478</v>
      </c>
      <c r="W176">
        <f t="shared" si="40"/>
        <v>0.42245101488487496</v>
      </c>
    </row>
    <row r="177" spans="1:23" x14ac:dyDescent="0.25">
      <c r="A177" t="s">
        <v>168</v>
      </c>
      <c r="B177">
        <v>6.2241</v>
      </c>
      <c r="C177">
        <v>2</v>
      </c>
      <c r="D177" t="s">
        <v>354</v>
      </c>
      <c r="E177">
        <f t="shared" si="38"/>
        <v>1</v>
      </c>
      <c r="U177">
        <f t="shared" si="41"/>
        <v>84</v>
      </c>
      <c r="V177">
        <f t="shared" si="39"/>
        <v>0.61244953211287478</v>
      </c>
      <c r="W177">
        <f t="shared" si="40"/>
        <v>0.42245101488487496</v>
      </c>
    </row>
    <row r="178" spans="1:23" x14ac:dyDescent="0.25">
      <c r="A178" t="s">
        <v>169</v>
      </c>
      <c r="B178">
        <v>187.11060000000001</v>
      </c>
      <c r="C178">
        <v>3</v>
      </c>
      <c r="D178" t="s">
        <v>354</v>
      </c>
      <c r="E178">
        <f t="shared" si="38"/>
        <v>1</v>
      </c>
      <c r="U178">
        <f t="shared" si="41"/>
        <v>85</v>
      </c>
      <c r="V178">
        <f t="shared" si="39"/>
        <v>0.61244953211287478</v>
      </c>
      <c r="W178">
        <f t="shared" si="40"/>
        <v>0.42245101488487496</v>
      </c>
    </row>
    <row r="179" spans="1:23" x14ac:dyDescent="0.25">
      <c r="A179" t="s">
        <v>170</v>
      </c>
      <c r="B179">
        <v>29.3353</v>
      </c>
      <c r="C179">
        <v>155</v>
      </c>
      <c r="D179" t="s">
        <v>354</v>
      </c>
      <c r="E179">
        <f t="shared" si="38"/>
        <v>6</v>
      </c>
      <c r="U179">
        <f t="shared" si="41"/>
        <v>85</v>
      </c>
      <c r="V179">
        <f t="shared" si="39"/>
        <v>0.61244953211287478</v>
      </c>
      <c r="W179">
        <f t="shared" si="40"/>
        <v>0.42245101488487496</v>
      </c>
    </row>
    <row r="180" spans="1:23" x14ac:dyDescent="0.25">
      <c r="A180" t="s">
        <v>171</v>
      </c>
      <c r="B180">
        <v>23.041499999999999</v>
      </c>
      <c r="C180">
        <v>1720</v>
      </c>
      <c r="D180" t="s">
        <v>354</v>
      </c>
      <c r="E180">
        <f t="shared" si="38"/>
        <v>58</v>
      </c>
      <c r="U180">
        <f t="shared" si="41"/>
        <v>86</v>
      </c>
      <c r="V180">
        <f t="shared" si="39"/>
        <v>0.61244953211287478</v>
      </c>
      <c r="W180">
        <f t="shared" si="40"/>
        <v>0.42245101488487496</v>
      </c>
    </row>
    <row r="181" spans="1:23" x14ac:dyDescent="0.25">
      <c r="A181" t="s">
        <v>172</v>
      </c>
      <c r="B181">
        <v>167.84870000000001</v>
      </c>
      <c r="C181">
        <v>24</v>
      </c>
      <c r="D181" t="s">
        <v>354</v>
      </c>
      <c r="E181">
        <f t="shared" si="38"/>
        <v>1</v>
      </c>
      <c r="U181">
        <f t="shared" si="41"/>
        <v>86</v>
      </c>
      <c r="V181">
        <f t="shared" si="39"/>
        <v>0.61244953211287478</v>
      </c>
      <c r="W181">
        <f t="shared" si="40"/>
        <v>0.42245101488487496</v>
      </c>
    </row>
    <row r="182" spans="1:23" x14ac:dyDescent="0.25">
      <c r="A182" t="s">
        <v>173</v>
      </c>
      <c r="B182">
        <v>68.953100000000006</v>
      </c>
      <c r="C182">
        <v>22</v>
      </c>
      <c r="D182" t="s">
        <v>354</v>
      </c>
      <c r="E182">
        <f t="shared" si="38"/>
        <v>1</v>
      </c>
      <c r="U182">
        <f t="shared" si="41"/>
        <v>87</v>
      </c>
      <c r="V182">
        <f t="shared" si="39"/>
        <v>0.61244953211287478</v>
      </c>
      <c r="W182">
        <f t="shared" si="40"/>
        <v>0.42245101488487496</v>
      </c>
    </row>
    <row r="183" spans="1:23" x14ac:dyDescent="0.25">
      <c r="A183" t="s">
        <v>174</v>
      </c>
      <c r="B183">
        <v>86.446100000000001</v>
      </c>
      <c r="C183">
        <v>48</v>
      </c>
      <c r="D183" t="s">
        <v>354</v>
      </c>
      <c r="E183">
        <f t="shared" si="38"/>
        <v>2</v>
      </c>
      <c r="U183">
        <f t="shared" si="41"/>
        <v>87</v>
      </c>
      <c r="V183">
        <f t="shared" si="39"/>
        <v>0.61244953211287478</v>
      </c>
      <c r="W183">
        <f t="shared" si="40"/>
        <v>0.42245101488487496</v>
      </c>
    </row>
    <row r="184" spans="1:23" x14ac:dyDescent="0.25">
      <c r="A184" t="s">
        <v>175</v>
      </c>
      <c r="B184">
        <v>44.785899999999998</v>
      </c>
      <c r="C184">
        <v>31</v>
      </c>
      <c r="D184" t="s">
        <v>354</v>
      </c>
      <c r="E184">
        <f t="shared" si="38"/>
        <v>2</v>
      </c>
      <c r="U184">
        <f t="shared" si="41"/>
        <v>88</v>
      </c>
      <c r="V184">
        <f t="shared" si="39"/>
        <v>0.61244953211287478</v>
      </c>
      <c r="W184">
        <f t="shared" si="40"/>
        <v>0.42245101488487496</v>
      </c>
    </row>
    <row r="185" spans="1:23" x14ac:dyDescent="0.25">
      <c r="A185" t="s">
        <v>176</v>
      </c>
      <c r="B185">
        <v>376.6234</v>
      </c>
      <c r="C185">
        <v>3</v>
      </c>
      <c r="D185" t="s">
        <v>354</v>
      </c>
      <c r="E185">
        <f t="shared" si="38"/>
        <v>1</v>
      </c>
      <c r="U185">
        <f t="shared" si="41"/>
        <v>88</v>
      </c>
      <c r="V185">
        <f t="shared" si="39"/>
        <v>0.61244953211287478</v>
      </c>
      <c r="W185">
        <f t="shared" si="40"/>
        <v>0.42245101488487496</v>
      </c>
    </row>
    <row r="186" spans="1:23" x14ac:dyDescent="0.25">
      <c r="A186" t="s">
        <v>177</v>
      </c>
      <c r="B186">
        <v>16.8096</v>
      </c>
      <c r="C186">
        <v>23</v>
      </c>
      <c r="D186" t="s">
        <v>354</v>
      </c>
      <c r="E186">
        <f t="shared" si="38"/>
        <v>1</v>
      </c>
      <c r="U186">
        <f t="shared" si="41"/>
        <v>89</v>
      </c>
      <c r="V186">
        <f t="shared" si="39"/>
        <v>0.61244953211287478</v>
      </c>
      <c r="W186">
        <f t="shared" si="40"/>
        <v>0.42245101488487496</v>
      </c>
    </row>
    <row r="187" spans="1:23" x14ac:dyDescent="0.25">
      <c r="A187" t="s">
        <v>178</v>
      </c>
      <c r="B187">
        <v>12.396699999999999</v>
      </c>
      <c r="C187">
        <v>6</v>
      </c>
      <c r="D187" t="s">
        <v>354</v>
      </c>
      <c r="E187">
        <f t="shared" si="38"/>
        <v>1</v>
      </c>
      <c r="U187">
        <f t="shared" si="41"/>
        <v>89</v>
      </c>
      <c r="V187">
        <f t="shared" si="39"/>
        <v>0.61244953211287478</v>
      </c>
      <c r="W187">
        <f t="shared" si="40"/>
        <v>0.42245101488487496</v>
      </c>
    </row>
    <row r="188" spans="1:23" x14ac:dyDescent="0.25">
      <c r="A188" t="s">
        <v>179</v>
      </c>
      <c r="B188">
        <v>27.203099999999999</v>
      </c>
      <c r="C188">
        <v>13</v>
      </c>
      <c r="D188" t="s">
        <v>354</v>
      </c>
      <c r="E188">
        <f t="shared" si="38"/>
        <v>1</v>
      </c>
      <c r="U188">
        <f t="shared" si="41"/>
        <v>90</v>
      </c>
      <c r="V188">
        <f t="shared" si="39"/>
        <v>0.61244953211287478</v>
      </c>
      <c r="W188">
        <f t="shared" si="40"/>
        <v>0.42245101488487496</v>
      </c>
    </row>
    <row r="189" spans="1:23" x14ac:dyDescent="0.25">
      <c r="A189" t="s">
        <v>180</v>
      </c>
      <c r="B189">
        <v>7.5156999999999998</v>
      </c>
      <c r="C189">
        <v>14</v>
      </c>
      <c r="D189" t="s">
        <v>354</v>
      </c>
      <c r="E189">
        <f t="shared" si="38"/>
        <v>1</v>
      </c>
      <c r="U189">
        <f t="shared" si="41"/>
        <v>90</v>
      </c>
      <c r="V189">
        <f t="shared" si="39"/>
        <v>0.61244953211287478</v>
      </c>
      <c r="W189">
        <f t="shared" si="40"/>
        <v>0.42245101488487496</v>
      </c>
    </row>
    <row r="190" spans="1:23" x14ac:dyDescent="0.25">
      <c r="A190" t="s">
        <v>181</v>
      </c>
      <c r="B190">
        <v>150.17779999999999</v>
      </c>
      <c r="C190">
        <v>28</v>
      </c>
      <c r="D190" t="s">
        <v>354</v>
      </c>
      <c r="E190">
        <f t="shared" si="38"/>
        <v>1</v>
      </c>
      <c r="U190">
        <f t="shared" si="41"/>
        <v>91</v>
      </c>
      <c r="V190">
        <f t="shared" si="39"/>
        <v>0.61244953211287478</v>
      </c>
      <c r="W190">
        <f t="shared" si="40"/>
        <v>0.42245101488487496</v>
      </c>
    </row>
    <row r="191" spans="1:23" x14ac:dyDescent="0.25">
      <c r="A191" t="s">
        <v>182</v>
      </c>
      <c r="B191">
        <v>221.52719999999999</v>
      </c>
      <c r="C191">
        <v>441</v>
      </c>
      <c r="D191" t="s">
        <v>354</v>
      </c>
      <c r="E191">
        <f t="shared" si="38"/>
        <v>15</v>
      </c>
      <c r="U191">
        <f t="shared" si="41"/>
        <v>91</v>
      </c>
      <c r="V191">
        <f t="shared" si="39"/>
        <v>0.61244953211287478</v>
      </c>
      <c r="W191">
        <f t="shared" si="40"/>
        <v>0.42245101488487496</v>
      </c>
    </row>
    <row r="192" spans="1:23" x14ac:dyDescent="0.25">
      <c r="A192" t="s">
        <v>183</v>
      </c>
      <c r="B192">
        <v>343.71929999999998</v>
      </c>
      <c r="C192">
        <v>203</v>
      </c>
      <c r="D192" t="s">
        <v>354</v>
      </c>
      <c r="E192">
        <f t="shared" si="38"/>
        <v>7</v>
      </c>
      <c r="U192">
        <f t="shared" si="41"/>
        <v>92</v>
      </c>
      <c r="V192">
        <f t="shared" si="39"/>
        <v>0.61244953211287478</v>
      </c>
      <c r="W192">
        <f t="shared" si="40"/>
        <v>0.42245101488487496</v>
      </c>
    </row>
    <row r="193" spans="1:23" x14ac:dyDescent="0.25">
      <c r="A193" t="s">
        <v>184</v>
      </c>
      <c r="B193">
        <v>145.1104</v>
      </c>
      <c r="C193">
        <v>230</v>
      </c>
      <c r="D193" t="s">
        <v>354</v>
      </c>
      <c r="E193">
        <f t="shared" si="38"/>
        <v>8</v>
      </c>
      <c r="U193">
        <f t="shared" si="41"/>
        <v>92</v>
      </c>
      <c r="V193">
        <f t="shared" si="39"/>
        <v>0.61244953211287478</v>
      </c>
      <c r="W193">
        <f t="shared" si="40"/>
        <v>0.42245101488487496</v>
      </c>
    </row>
    <row r="194" spans="1:23" x14ac:dyDescent="0.25">
      <c r="A194" t="s">
        <v>185</v>
      </c>
      <c r="B194">
        <v>12.605</v>
      </c>
      <c r="C194">
        <v>6</v>
      </c>
      <c r="D194" t="s">
        <v>354</v>
      </c>
      <c r="E194">
        <f t="shared" si="38"/>
        <v>1</v>
      </c>
      <c r="U194">
        <f t="shared" si="41"/>
        <v>93</v>
      </c>
      <c r="V194">
        <f t="shared" si="39"/>
        <v>0.61244953211287478</v>
      </c>
      <c r="W194">
        <f t="shared" si="40"/>
        <v>0.42245101488487496</v>
      </c>
    </row>
    <row r="195" spans="1:23" x14ac:dyDescent="0.25">
      <c r="A195" t="s">
        <v>186</v>
      </c>
      <c r="B195">
        <v>791.08749999999998</v>
      </c>
      <c r="C195">
        <v>113</v>
      </c>
      <c r="D195" t="s">
        <v>354</v>
      </c>
      <c r="E195">
        <f t="shared" ref="E195:E258" si="42">INT((C195-1)/30)+1</f>
        <v>4</v>
      </c>
      <c r="U195">
        <f t="shared" si="41"/>
        <v>93</v>
      </c>
      <c r="V195">
        <f t="shared" si="39"/>
        <v>0.61244953211287478</v>
      </c>
      <c r="W195">
        <f t="shared" si="40"/>
        <v>0.42245101488487496</v>
      </c>
    </row>
    <row r="196" spans="1:23" x14ac:dyDescent="0.25">
      <c r="A196" t="s">
        <v>187</v>
      </c>
      <c r="B196">
        <v>28.9436</v>
      </c>
      <c r="C196">
        <v>169</v>
      </c>
      <c r="D196" t="s">
        <v>354</v>
      </c>
      <c r="E196">
        <f t="shared" si="42"/>
        <v>6</v>
      </c>
      <c r="U196">
        <f t="shared" si="41"/>
        <v>94</v>
      </c>
      <c r="V196">
        <f t="shared" si="39"/>
        <v>0.61244953211287478</v>
      </c>
      <c r="W196">
        <f t="shared" si="40"/>
        <v>0.42245101488487496</v>
      </c>
    </row>
    <row r="197" spans="1:23" x14ac:dyDescent="0.25">
      <c r="A197" t="s">
        <v>188</v>
      </c>
      <c r="B197">
        <v>15.267200000000001</v>
      </c>
      <c r="C197">
        <v>158</v>
      </c>
      <c r="D197" t="s">
        <v>354</v>
      </c>
      <c r="E197">
        <f t="shared" si="42"/>
        <v>6</v>
      </c>
      <c r="U197">
        <f t="shared" si="41"/>
        <v>94</v>
      </c>
      <c r="V197">
        <f t="shared" si="39"/>
        <v>0.61244953211287478</v>
      </c>
      <c r="W197">
        <f t="shared" si="40"/>
        <v>0.42245101488487496</v>
      </c>
    </row>
    <row r="198" spans="1:23" x14ac:dyDescent="0.25">
      <c r="A198" t="s">
        <v>189</v>
      </c>
      <c r="B198">
        <v>23.794699999999999</v>
      </c>
      <c r="C198">
        <v>168</v>
      </c>
      <c r="D198" t="s">
        <v>354</v>
      </c>
      <c r="E198">
        <f t="shared" si="42"/>
        <v>6</v>
      </c>
      <c r="U198">
        <f t="shared" si="41"/>
        <v>95</v>
      </c>
      <c r="V198">
        <f t="shared" si="39"/>
        <v>0.61244953211287478</v>
      </c>
      <c r="W198">
        <f t="shared" si="40"/>
        <v>0.42245101488487496</v>
      </c>
    </row>
    <row r="199" spans="1:23" x14ac:dyDescent="0.25">
      <c r="A199" t="s">
        <v>190</v>
      </c>
      <c r="B199">
        <v>4.6117999999999997</v>
      </c>
      <c r="C199">
        <v>235</v>
      </c>
      <c r="D199" t="s">
        <v>354</v>
      </c>
      <c r="E199">
        <f t="shared" si="42"/>
        <v>8</v>
      </c>
      <c r="U199">
        <f t="shared" si="41"/>
        <v>95</v>
      </c>
      <c r="V199">
        <f t="shared" si="39"/>
        <v>0.54439958410033318</v>
      </c>
      <c r="W199">
        <f t="shared" si="40"/>
        <v>0.42245101488487496</v>
      </c>
    </row>
    <row r="200" spans="1:23" x14ac:dyDescent="0.25">
      <c r="A200" t="s">
        <v>191</v>
      </c>
      <c r="B200">
        <v>94.270600000000002</v>
      </c>
      <c r="C200">
        <v>209</v>
      </c>
      <c r="D200" t="s">
        <v>354</v>
      </c>
      <c r="E200">
        <f t="shared" si="42"/>
        <v>7</v>
      </c>
      <c r="U200">
        <f t="shared" si="41"/>
        <v>96</v>
      </c>
      <c r="V200">
        <f t="shared" si="39"/>
        <v>0.54439958410033318</v>
      </c>
      <c r="W200">
        <f t="shared" si="40"/>
        <v>0.42245101488487496</v>
      </c>
    </row>
    <row r="201" spans="1:23" x14ac:dyDescent="0.25">
      <c r="A201" t="s">
        <v>192</v>
      </c>
      <c r="B201">
        <v>440.57380000000001</v>
      </c>
      <c r="C201">
        <v>1715</v>
      </c>
      <c r="D201" t="s">
        <v>354</v>
      </c>
      <c r="E201">
        <f t="shared" si="42"/>
        <v>58</v>
      </c>
      <c r="U201">
        <f t="shared" si="41"/>
        <v>96</v>
      </c>
      <c r="V201">
        <f t="shared" si="39"/>
        <v>0.54439958410033318</v>
      </c>
      <c r="W201">
        <f t="shared" si="40"/>
        <v>0.42245101488487496</v>
      </c>
    </row>
    <row r="202" spans="1:23" x14ac:dyDescent="0.25">
      <c r="A202" t="s">
        <v>193</v>
      </c>
      <c r="B202">
        <v>27.896000000000001</v>
      </c>
      <c r="C202">
        <v>957</v>
      </c>
      <c r="D202" t="s">
        <v>354</v>
      </c>
      <c r="E202">
        <f t="shared" si="42"/>
        <v>32</v>
      </c>
      <c r="U202">
        <f t="shared" si="41"/>
        <v>97</v>
      </c>
      <c r="V202">
        <f t="shared" si="39"/>
        <v>0.54439958410033318</v>
      </c>
      <c r="W202">
        <f t="shared" si="40"/>
        <v>0.42245101488487496</v>
      </c>
    </row>
    <row r="203" spans="1:23" x14ac:dyDescent="0.25">
      <c r="A203" t="s">
        <v>193</v>
      </c>
      <c r="B203">
        <v>80.188699999999997</v>
      </c>
      <c r="C203">
        <v>957</v>
      </c>
      <c r="D203" t="s">
        <v>354</v>
      </c>
      <c r="E203">
        <f t="shared" si="42"/>
        <v>32</v>
      </c>
      <c r="U203">
        <f t="shared" si="41"/>
        <v>97</v>
      </c>
      <c r="V203">
        <f t="shared" ref="V203:V212" si="43">IF(U203&gt;U202, V202, LOOKUP(U203, $G$3:$G$105, $L$3:$L$105))</f>
        <v>0.54439958410033318</v>
      </c>
      <c r="W203">
        <f t="shared" ref="W203:W212" si="44">IF(U203&gt;U202, W202, LOOKUP(U203, $G$3:$G$105, $Q$3:$Q$105))</f>
        <v>0.42245101488487496</v>
      </c>
    </row>
    <row r="204" spans="1:23" x14ac:dyDescent="0.25">
      <c r="A204" t="s">
        <v>194</v>
      </c>
      <c r="B204">
        <v>7.9549000000000003</v>
      </c>
      <c r="C204">
        <v>1334</v>
      </c>
      <c r="D204" t="s">
        <v>354</v>
      </c>
      <c r="E204">
        <f t="shared" si="42"/>
        <v>45</v>
      </c>
      <c r="U204">
        <f t="shared" ref="U204:U212" si="45">IF(U203&gt;U202, U203, U203+1)</f>
        <v>98</v>
      </c>
      <c r="V204">
        <f t="shared" si="43"/>
        <v>0.54439958410033318</v>
      </c>
      <c r="W204">
        <f t="shared" si="44"/>
        <v>0.42245101488487496</v>
      </c>
    </row>
    <row r="205" spans="1:23" x14ac:dyDescent="0.25">
      <c r="A205" t="s">
        <v>194</v>
      </c>
      <c r="B205">
        <v>5.8737000000000004</v>
      </c>
      <c r="C205">
        <v>1334</v>
      </c>
      <c r="D205" t="s">
        <v>354</v>
      </c>
      <c r="E205">
        <f t="shared" si="42"/>
        <v>45</v>
      </c>
      <c r="U205">
        <f t="shared" si="45"/>
        <v>98</v>
      </c>
      <c r="V205">
        <f t="shared" si="43"/>
        <v>0.54439958410033318</v>
      </c>
      <c r="W205">
        <f t="shared" si="44"/>
        <v>0.42245101488487496</v>
      </c>
    </row>
    <row r="206" spans="1:23" x14ac:dyDescent="0.25">
      <c r="A206" t="s">
        <v>195</v>
      </c>
      <c r="B206">
        <v>11.777200000000001</v>
      </c>
      <c r="C206">
        <v>506</v>
      </c>
      <c r="D206" t="s">
        <v>354</v>
      </c>
      <c r="E206">
        <f t="shared" si="42"/>
        <v>17</v>
      </c>
      <c r="U206">
        <f t="shared" si="45"/>
        <v>99</v>
      </c>
      <c r="V206">
        <f t="shared" si="43"/>
        <v>0.54439958410033318</v>
      </c>
      <c r="W206">
        <f t="shared" si="44"/>
        <v>0.42245101488487496</v>
      </c>
    </row>
    <row r="207" spans="1:23" x14ac:dyDescent="0.25">
      <c r="A207" t="s">
        <v>195</v>
      </c>
      <c r="B207">
        <v>6.1947000000000001</v>
      </c>
      <c r="C207">
        <v>506</v>
      </c>
      <c r="D207" t="s">
        <v>354</v>
      </c>
      <c r="E207">
        <f t="shared" si="42"/>
        <v>17</v>
      </c>
      <c r="U207">
        <f t="shared" si="45"/>
        <v>99</v>
      </c>
      <c r="V207">
        <f t="shared" si="43"/>
        <v>0.54439958410033318</v>
      </c>
      <c r="W207">
        <f t="shared" si="44"/>
        <v>0.42245101488487496</v>
      </c>
    </row>
    <row r="208" spans="1:23" x14ac:dyDescent="0.25">
      <c r="A208" t="s">
        <v>196</v>
      </c>
      <c r="B208">
        <v>2.2471999999999999</v>
      </c>
      <c r="C208">
        <v>2180</v>
      </c>
      <c r="D208" t="s">
        <v>354</v>
      </c>
      <c r="E208">
        <f t="shared" si="42"/>
        <v>73</v>
      </c>
      <c r="U208">
        <f t="shared" si="45"/>
        <v>100</v>
      </c>
      <c r="V208">
        <f t="shared" si="43"/>
        <v>0.54439958410033318</v>
      </c>
      <c r="W208">
        <f t="shared" si="44"/>
        <v>0.42245101488487496</v>
      </c>
    </row>
    <row r="209" spans="1:23" x14ac:dyDescent="0.25">
      <c r="A209" t="s">
        <v>197</v>
      </c>
      <c r="B209">
        <v>495.78530000000001</v>
      </c>
      <c r="C209">
        <v>1705</v>
      </c>
      <c r="D209" t="s">
        <v>354</v>
      </c>
      <c r="E209">
        <f t="shared" si="42"/>
        <v>57</v>
      </c>
      <c r="U209">
        <f t="shared" si="45"/>
        <v>100</v>
      </c>
      <c r="V209">
        <f t="shared" si="43"/>
        <v>0.54439958410033318</v>
      </c>
      <c r="W209">
        <f t="shared" si="44"/>
        <v>0.42245101488487496</v>
      </c>
    </row>
    <row r="210" spans="1:23" x14ac:dyDescent="0.25">
      <c r="A210" t="s">
        <v>197</v>
      </c>
      <c r="B210">
        <v>421.47120000000001</v>
      </c>
      <c r="C210">
        <v>1705</v>
      </c>
      <c r="D210" t="s">
        <v>354</v>
      </c>
      <c r="E210">
        <f t="shared" si="42"/>
        <v>57</v>
      </c>
      <c r="U210">
        <f t="shared" si="45"/>
        <v>101</v>
      </c>
      <c r="V210">
        <f t="shared" si="43"/>
        <v>0.54439958410033318</v>
      </c>
      <c r="W210">
        <f t="shared" si="44"/>
        <v>0.42245101488487496</v>
      </c>
    </row>
    <row r="211" spans="1:23" x14ac:dyDescent="0.25">
      <c r="A211" t="s">
        <v>198</v>
      </c>
      <c r="B211">
        <v>9.8771000000000004</v>
      </c>
      <c r="C211">
        <v>1395</v>
      </c>
      <c r="D211" t="s">
        <v>354</v>
      </c>
      <c r="E211">
        <f t="shared" si="42"/>
        <v>47</v>
      </c>
      <c r="U211">
        <f t="shared" si="45"/>
        <v>101</v>
      </c>
      <c r="V211">
        <f t="shared" si="43"/>
        <v>0.54439958410033318</v>
      </c>
      <c r="W211">
        <f t="shared" si="44"/>
        <v>0.42245101488487496</v>
      </c>
    </row>
    <row r="212" spans="1:23" x14ac:dyDescent="0.25">
      <c r="A212" t="s">
        <v>199</v>
      </c>
      <c r="B212">
        <v>5.6824000000000003</v>
      </c>
      <c r="C212">
        <v>5</v>
      </c>
      <c r="D212" t="s">
        <v>354</v>
      </c>
      <c r="E212">
        <f t="shared" si="42"/>
        <v>1</v>
      </c>
      <c r="U212">
        <f t="shared" si="45"/>
        <v>102</v>
      </c>
      <c r="V212">
        <f t="shared" si="43"/>
        <v>0.54439958410033318</v>
      </c>
      <c r="W212">
        <f t="shared" si="44"/>
        <v>0.42245101488487496</v>
      </c>
    </row>
    <row r="213" spans="1:23" x14ac:dyDescent="0.25">
      <c r="A213" t="s">
        <v>200</v>
      </c>
      <c r="B213">
        <v>19.422899999999998</v>
      </c>
      <c r="C213">
        <v>2</v>
      </c>
      <c r="D213" t="s">
        <v>354</v>
      </c>
      <c r="E213">
        <f t="shared" si="42"/>
        <v>1</v>
      </c>
    </row>
    <row r="214" spans="1:23" x14ac:dyDescent="0.25">
      <c r="A214" t="s">
        <v>201</v>
      </c>
      <c r="B214">
        <v>2.5558999999999998</v>
      </c>
      <c r="C214">
        <v>12</v>
      </c>
      <c r="D214" t="s">
        <v>354</v>
      </c>
      <c r="E214">
        <f t="shared" si="42"/>
        <v>1</v>
      </c>
    </row>
    <row r="215" spans="1:23" x14ac:dyDescent="0.25">
      <c r="A215" t="s">
        <v>202</v>
      </c>
      <c r="B215">
        <v>15.258699999999999</v>
      </c>
      <c r="C215">
        <v>8</v>
      </c>
      <c r="D215" t="s">
        <v>354</v>
      </c>
      <c r="E215">
        <f t="shared" si="42"/>
        <v>1</v>
      </c>
    </row>
    <row r="216" spans="1:23" x14ac:dyDescent="0.25">
      <c r="A216" t="s">
        <v>203</v>
      </c>
      <c r="B216">
        <v>7.391</v>
      </c>
      <c r="C216">
        <v>2</v>
      </c>
      <c r="D216" t="s">
        <v>354</v>
      </c>
      <c r="E216">
        <f t="shared" si="42"/>
        <v>1</v>
      </c>
    </row>
    <row r="217" spans="1:23" x14ac:dyDescent="0.25">
      <c r="A217" t="s">
        <v>204</v>
      </c>
      <c r="B217">
        <v>3.3944999999999999</v>
      </c>
      <c r="C217">
        <v>8</v>
      </c>
      <c r="D217" t="s">
        <v>354</v>
      </c>
      <c r="E217">
        <f t="shared" si="42"/>
        <v>1</v>
      </c>
    </row>
    <row r="218" spans="1:23" x14ac:dyDescent="0.25">
      <c r="A218" t="s">
        <v>205</v>
      </c>
      <c r="B218">
        <v>18.910399999999999</v>
      </c>
      <c r="C218">
        <v>10</v>
      </c>
      <c r="D218" t="s">
        <v>354</v>
      </c>
      <c r="E218">
        <f t="shared" si="42"/>
        <v>1</v>
      </c>
    </row>
    <row r="219" spans="1:23" x14ac:dyDescent="0.25">
      <c r="A219" t="s">
        <v>206</v>
      </c>
      <c r="B219">
        <v>12.1473</v>
      </c>
      <c r="C219">
        <v>3</v>
      </c>
      <c r="D219" t="s">
        <v>354</v>
      </c>
      <c r="E219">
        <f t="shared" si="42"/>
        <v>1</v>
      </c>
    </row>
    <row r="220" spans="1:23" x14ac:dyDescent="0.25">
      <c r="A220" t="s">
        <v>207</v>
      </c>
      <c r="B220">
        <v>8.8085000000000004</v>
      </c>
      <c r="C220">
        <v>41</v>
      </c>
      <c r="D220" t="s">
        <v>354</v>
      </c>
      <c r="E220">
        <f t="shared" si="42"/>
        <v>2</v>
      </c>
    </row>
    <row r="221" spans="1:23" x14ac:dyDescent="0.25">
      <c r="A221" t="s">
        <v>208</v>
      </c>
      <c r="B221">
        <v>10.989000000000001</v>
      </c>
      <c r="C221">
        <v>534</v>
      </c>
      <c r="D221" t="s">
        <v>354</v>
      </c>
      <c r="E221">
        <f t="shared" si="42"/>
        <v>18</v>
      </c>
    </row>
    <row r="222" spans="1:23" x14ac:dyDescent="0.25">
      <c r="A222" t="s">
        <v>209</v>
      </c>
      <c r="B222">
        <v>386.84210000000002</v>
      </c>
      <c r="C222">
        <v>3116</v>
      </c>
      <c r="D222" t="s">
        <v>354</v>
      </c>
      <c r="E222">
        <f t="shared" si="42"/>
        <v>104</v>
      </c>
    </row>
    <row r="223" spans="1:23" x14ac:dyDescent="0.25">
      <c r="A223" t="s">
        <v>210</v>
      </c>
      <c r="B223">
        <v>123.256</v>
      </c>
      <c r="C223">
        <v>1227</v>
      </c>
      <c r="D223" t="s">
        <v>354</v>
      </c>
      <c r="E223">
        <f t="shared" si="42"/>
        <v>41</v>
      </c>
    </row>
    <row r="224" spans="1:23" x14ac:dyDescent="0.25">
      <c r="A224" t="s">
        <v>211</v>
      </c>
      <c r="B224">
        <v>97.795199999999994</v>
      </c>
      <c r="C224">
        <v>1492</v>
      </c>
      <c r="D224" t="s">
        <v>354</v>
      </c>
      <c r="E224">
        <f t="shared" si="42"/>
        <v>50</v>
      </c>
    </row>
    <row r="225" spans="1:5" x14ac:dyDescent="0.25">
      <c r="A225" t="s">
        <v>211</v>
      </c>
      <c r="B225">
        <v>71.304299999999998</v>
      </c>
      <c r="C225">
        <v>1492</v>
      </c>
      <c r="D225" t="s">
        <v>354</v>
      </c>
      <c r="E225">
        <f t="shared" si="42"/>
        <v>50</v>
      </c>
    </row>
    <row r="226" spans="1:5" x14ac:dyDescent="0.25">
      <c r="A226" t="s">
        <v>212</v>
      </c>
      <c r="B226">
        <v>18.0106</v>
      </c>
      <c r="C226">
        <v>475</v>
      </c>
      <c r="D226" t="s">
        <v>354</v>
      </c>
      <c r="E226">
        <f t="shared" si="42"/>
        <v>16</v>
      </c>
    </row>
    <row r="227" spans="1:5" x14ac:dyDescent="0.25">
      <c r="A227" t="s">
        <v>213</v>
      </c>
      <c r="B227">
        <v>78.343299999999999</v>
      </c>
      <c r="C227">
        <v>1466</v>
      </c>
      <c r="D227" t="s">
        <v>354</v>
      </c>
      <c r="E227">
        <f t="shared" si="42"/>
        <v>49</v>
      </c>
    </row>
    <row r="228" spans="1:5" x14ac:dyDescent="0.25">
      <c r="A228" t="s">
        <v>214</v>
      </c>
      <c r="B228">
        <v>216.239</v>
      </c>
      <c r="C228">
        <v>853</v>
      </c>
      <c r="D228" t="s">
        <v>354</v>
      </c>
      <c r="E228">
        <f t="shared" si="42"/>
        <v>29</v>
      </c>
    </row>
    <row r="229" spans="1:5" x14ac:dyDescent="0.25">
      <c r="A229" t="s">
        <v>215</v>
      </c>
      <c r="B229">
        <v>98.0154</v>
      </c>
      <c r="C229">
        <v>669</v>
      </c>
      <c r="D229" t="s">
        <v>354</v>
      </c>
      <c r="E229">
        <f t="shared" si="42"/>
        <v>23</v>
      </c>
    </row>
    <row r="230" spans="1:5" x14ac:dyDescent="0.25">
      <c r="A230" t="s">
        <v>216</v>
      </c>
      <c r="B230">
        <v>23.142499999999998</v>
      </c>
      <c r="C230">
        <v>89</v>
      </c>
      <c r="D230" t="s">
        <v>354</v>
      </c>
      <c r="E230">
        <f t="shared" si="42"/>
        <v>3</v>
      </c>
    </row>
    <row r="231" spans="1:5" x14ac:dyDescent="0.25">
      <c r="A231" t="s">
        <v>217</v>
      </c>
      <c r="B231">
        <v>72.749399999999994</v>
      </c>
      <c r="C231">
        <v>61</v>
      </c>
      <c r="D231" t="s">
        <v>354</v>
      </c>
      <c r="E231">
        <f t="shared" si="42"/>
        <v>3</v>
      </c>
    </row>
    <row r="232" spans="1:5" x14ac:dyDescent="0.25">
      <c r="A232" t="s">
        <v>218</v>
      </c>
      <c r="B232">
        <v>10.124000000000001</v>
      </c>
      <c r="C232">
        <v>3136</v>
      </c>
      <c r="D232" t="s">
        <v>354</v>
      </c>
      <c r="E232">
        <f t="shared" si="42"/>
        <v>105</v>
      </c>
    </row>
    <row r="233" spans="1:5" x14ac:dyDescent="0.25">
      <c r="A233" t="s">
        <v>219</v>
      </c>
      <c r="B233">
        <v>12.4533</v>
      </c>
      <c r="C233">
        <v>184</v>
      </c>
      <c r="D233" t="s">
        <v>354</v>
      </c>
      <c r="E233">
        <f t="shared" si="42"/>
        <v>7</v>
      </c>
    </row>
    <row r="234" spans="1:5" x14ac:dyDescent="0.25">
      <c r="A234" t="s">
        <v>220</v>
      </c>
      <c r="B234">
        <v>11.981299999999999</v>
      </c>
      <c r="C234">
        <v>214</v>
      </c>
      <c r="D234" t="s">
        <v>354</v>
      </c>
      <c r="E234">
        <f t="shared" si="42"/>
        <v>8</v>
      </c>
    </row>
    <row r="235" spans="1:5" x14ac:dyDescent="0.25">
      <c r="A235" t="s">
        <v>221</v>
      </c>
      <c r="B235">
        <v>88.855400000000003</v>
      </c>
      <c r="C235">
        <v>699</v>
      </c>
      <c r="D235" t="s">
        <v>354</v>
      </c>
      <c r="E235">
        <f t="shared" si="42"/>
        <v>24</v>
      </c>
    </row>
    <row r="236" spans="1:5" x14ac:dyDescent="0.25">
      <c r="A236" t="s">
        <v>222</v>
      </c>
      <c r="B236">
        <v>12.025</v>
      </c>
      <c r="C236">
        <v>244</v>
      </c>
      <c r="D236" t="s">
        <v>354</v>
      </c>
      <c r="E236">
        <f t="shared" si="42"/>
        <v>9</v>
      </c>
    </row>
    <row r="237" spans="1:5" x14ac:dyDescent="0.25">
      <c r="A237" t="s">
        <v>222</v>
      </c>
      <c r="B237">
        <v>21.139199999999999</v>
      </c>
      <c r="C237">
        <v>244</v>
      </c>
      <c r="D237" t="s">
        <v>354</v>
      </c>
      <c r="E237">
        <f t="shared" si="42"/>
        <v>9</v>
      </c>
    </row>
    <row r="238" spans="1:5" x14ac:dyDescent="0.25">
      <c r="A238" t="s">
        <v>223</v>
      </c>
      <c r="B238">
        <v>81.6327</v>
      </c>
      <c r="C238">
        <v>214</v>
      </c>
      <c r="D238" t="s">
        <v>354</v>
      </c>
      <c r="E238">
        <f t="shared" si="42"/>
        <v>8</v>
      </c>
    </row>
    <row r="239" spans="1:5" x14ac:dyDescent="0.25">
      <c r="A239" t="s">
        <v>224</v>
      </c>
      <c r="B239">
        <v>11.916600000000001</v>
      </c>
      <c r="C239">
        <v>244</v>
      </c>
      <c r="D239" t="s">
        <v>354</v>
      </c>
      <c r="E239">
        <f t="shared" si="42"/>
        <v>9</v>
      </c>
    </row>
    <row r="240" spans="1:5" x14ac:dyDescent="0.25">
      <c r="A240" t="s">
        <v>225</v>
      </c>
      <c r="B240">
        <v>156.76419999999999</v>
      </c>
      <c r="C240">
        <v>607</v>
      </c>
      <c r="D240" t="s">
        <v>354</v>
      </c>
      <c r="E240">
        <f t="shared" si="42"/>
        <v>21</v>
      </c>
    </row>
    <row r="241" spans="1:5" x14ac:dyDescent="0.25">
      <c r="A241" t="s">
        <v>226</v>
      </c>
      <c r="B241">
        <v>5.6439000000000004</v>
      </c>
      <c r="C241">
        <v>123</v>
      </c>
      <c r="D241" t="s">
        <v>354</v>
      </c>
      <c r="E241">
        <f t="shared" si="42"/>
        <v>5</v>
      </c>
    </row>
    <row r="242" spans="1:5" x14ac:dyDescent="0.25">
      <c r="A242" t="s">
        <v>227</v>
      </c>
      <c r="B242">
        <v>163.17019999999999</v>
      </c>
      <c r="C242">
        <v>183</v>
      </c>
      <c r="D242" t="s">
        <v>354</v>
      </c>
      <c r="E242">
        <f t="shared" si="42"/>
        <v>7</v>
      </c>
    </row>
    <row r="243" spans="1:5" x14ac:dyDescent="0.25">
      <c r="A243" t="s">
        <v>228</v>
      </c>
      <c r="B243">
        <v>25.644200000000001</v>
      </c>
      <c r="C243">
        <v>304</v>
      </c>
      <c r="D243" t="s">
        <v>354</v>
      </c>
      <c r="E243">
        <f t="shared" si="42"/>
        <v>11</v>
      </c>
    </row>
    <row r="244" spans="1:5" x14ac:dyDescent="0.25">
      <c r="A244" t="s">
        <v>229</v>
      </c>
      <c r="B244">
        <v>159.52979999999999</v>
      </c>
      <c r="C244">
        <v>393</v>
      </c>
      <c r="D244" t="s">
        <v>354</v>
      </c>
      <c r="E244">
        <f t="shared" si="42"/>
        <v>14</v>
      </c>
    </row>
    <row r="245" spans="1:5" x14ac:dyDescent="0.25">
      <c r="A245" t="s">
        <v>230</v>
      </c>
      <c r="B245">
        <v>3.9569999999999999</v>
      </c>
      <c r="C245">
        <v>335</v>
      </c>
      <c r="D245" t="s">
        <v>354</v>
      </c>
      <c r="E245">
        <f t="shared" si="42"/>
        <v>12</v>
      </c>
    </row>
    <row r="246" spans="1:5" x14ac:dyDescent="0.25">
      <c r="A246" t="s">
        <v>231</v>
      </c>
      <c r="B246">
        <v>130.6651</v>
      </c>
      <c r="C246">
        <v>304</v>
      </c>
      <c r="D246" t="s">
        <v>354</v>
      </c>
      <c r="E246">
        <f t="shared" si="42"/>
        <v>11</v>
      </c>
    </row>
    <row r="247" spans="1:5" x14ac:dyDescent="0.25">
      <c r="A247" t="s">
        <v>232</v>
      </c>
      <c r="B247">
        <v>16.961099999999998</v>
      </c>
      <c r="C247">
        <v>335</v>
      </c>
      <c r="D247" t="s">
        <v>354</v>
      </c>
      <c r="E247">
        <f t="shared" si="42"/>
        <v>12</v>
      </c>
    </row>
    <row r="248" spans="1:5" x14ac:dyDescent="0.25">
      <c r="A248" t="s">
        <v>233</v>
      </c>
      <c r="B248">
        <v>21.158899999999999</v>
      </c>
      <c r="C248">
        <v>304</v>
      </c>
      <c r="D248" t="s">
        <v>354</v>
      </c>
      <c r="E248">
        <f t="shared" si="42"/>
        <v>11</v>
      </c>
    </row>
    <row r="249" spans="1:5" x14ac:dyDescent="0.25">
      <c r="A249" t="s">
        <v>234</v>
      </c>
      <c r="B249">
        <v>13.624000000000001</v>
      </c>
      <c r="C249">
        <v>61</v>
      </c>
      <c r="D249" t="s">
        <v>354</v>
      </c>
      <c r="E249">
        <f t="shared" si="42"/>
        <v>3</v>
      </c>
    </row>
    <row r="250" spans="1:5" x14ac:dyDescent="0.25">
      <c r="A250" t="s">
        <v>235</v>
      </c>
      <c r="B250">
        <v>11.1111</v>
      </c>
      <c r="C250">
        <v>304</v>
      </c>
      <c r="D250" t="s">
        <v>354</v>
      </c>
      <c r="E250">
        <f t="shared" si="42"/>
        <v>11</v>
      </c>
    </row>
    <row r="251" spans="1:5" x14ac:dyDescent="0.25">
      <c r="A251" t="s">
        <v>236</v>
      </c>
      <c r="B251">
        <v>7.7088000000000001</v>
      </c>
      <c r="C251">
        <v>212</v>
      </c>
      <c r="D251" t="s">
        <v>354</v>
      </c>
      <c r="E251">
        <f t="shared" si="42"/>
        <v>8</v>
      </c>
    </row>
    <row r="252" spans="1:5" x14ac:dyDescent="0.25">
      <c r="A252" t="s">
        <v>237</v>
      </c>
      <c r="B252">
        <v>245.0361</v>
      </c>
      <c r="C252">
        <v>212</v>
      </c>
      <c r="D252" t="s">
        <v>354</v>
      </c>
      <c r="E252">
        <f t="shared" si="42"/>
        <v>8</v>
      </c>
    </row>
    <row r="253" spans="1:5" x14ac:dyDescent="0.25">
      <c r="A253" t="s">
        <v>238</v>
      </c>
      <c r="B253">
        <v>98.100499999999997</v>
      </c>
      <c r="C253">
        <v>90</v>
      </c>
      <c r="D253" t="s">
        <v>354</v>
      </c>
      <c r="E253">
        <f t="shared" si="42"/>
        <v>3</v>
      </c>
    </row>
    <row r="254" spans="1:5" x14ac:dyDescent="0.25">
      <c r="A254" t="s">
        <v>239</v>
      </c>
      <c r="B254">
        <v>16.314399999999999</v>
      </c>
      <c r="C254">
        <v>487</v>
      </c>
      <c r="D254" t="s">
        <v>354</v>
      </c>
      <c r="E254">
        <f t="shared" si="42"/>
        <v>17</v>
      </c>
    </row>
    <row r="255" spans="1:5" x14ac:dyDescent="0.25">
      <c r="A255" t="s">
        <v>240</v>
      </c>
      <c r="B255">
        <v>52.683399999999999</v>
      </c>
      <c r="C255">
        <v>212</v>
      </c>
      <c r="D255" t="s">
        <v>354</v>
      </c>
      <c r="E255">
        <f t="shared" si="42"/>
        <v>8</v>
      </c>
    </row>
    <row r="256" spans="1:5" x14ac:dyDescent="0.25">
      <c r="A256" t="s">
        <v>241</v>
      </c>
      <c r="B256">
        <v>19.7605</v>
      </c>
      <c r="C256">
        <v>424</v>
      </c>
      <c r="D256" t="s">
        <v>354</v>
      </c>
      <c r="E256">
        <f t="shared" si="42"/>
        <v>15</v>
      </c>
    </row>
    <row r="257" spans="1:5" x14ac:dyDescent="0.25">
      <c r="A257" t="s">
        <v>242</v>
      </c>
      <c r="B257">
        <v>47.694800000000001</v>
      </c>
      <c r="C257">
        <v>122</v>
      </c>
      <c r="D257" t="s">
        <v>354</v>
      </c>
      <c r="E257">
        <f t="shared" si="42"/>
        <v>5</v>
      </c>
    </row>
    <row r="258" spans="1:5" x14ac:dyDescent="0.25">
      <c r="A258" t="s">
        <v>243</v>
      </c>
      <c r="B258">
        <v>55.614100000000001</v>
      </c>
      <c r="C258">
        <v>181</v>
      </c>
      <c r="D258" t="s">
        <v>354</v>
      </c>
      <c r="E258">
        <f t="shared" si="42"/>
        <v>7</v>
      </c>
    </row>
    <row r="259" spans="1:5" x14ac:dyDescent="0.25">
      <c r="A259" t="s">
        <v>244</v>
      </c>
      <c r="B259">
        <v>103.2325</v>
      </c>
      <c r="C259">
        <v>243</v>
      </c>
      <c r="D259" t="s">
        <v>354</v>
      </c>
      <c r="E259">
        <f t="shared" ref="E259:E322" si="46">INT((C259-1)/30)+1</f>
        <v>9</v>
      </c>
    </row>
    <row r="260" spans="1:5" x14ac:dyDescent="0.25">
      <c r="A260" t="s">
        <v>245</v>
      </c>
      <c r="B260">
        <v>12.889799999999999</v>
      </c>
      <c r="C260">
        <v>242</v>
      </c>
      <c r="D260" t="s">
        <v>354</v>
      </c>
      <c r="E260">
        <f t="shared" si="46"/>
        <v>9</v>
      </c>
    </row>
    <row r="261" spans="1:5" x14ac:dyDescent="0.25">
      <c r="A261" t="s">
        <v>246</v>
      </c>
      <c r="B261">
        <v>10.3475</v>
      </c>
      <c r="C261">
        <v>182</v>
      </c>
      <c r="D261" t="s">
        <v>354</v>
      </c>
      <c r="E261">
        <f t="shared" si="46"/>
        <v>7</v>
      </c>
    </row>
    <row r="262" spans="1:5" x14ac:dyDescent="0.25">
      <c r="A262" t="s">
        <v>247</v>
      </c>
      <c r="B262">
        <v>32.351199999999999</v>
      </c>
      <c r="C262">
        <v>212</v>
      </c>
      <c r="D262" t="s">
        <v>354</v>
      </c>
      <c r="E262">
        <f t="shared" si="46"/>
        <v>8</v>
      </c>
    </row>
    <row r="263" spans="1:5" x14ac:dyDescent="0.25">
      <c r="A263" t="s">
        <v>248</v>
      </c>
      <c r="B263">
        <v>9.0292999999999992</v>
      </c>
      <c r="C263">
        <v>150</v>
      </c>
      <c r="D263" t="s">
        <v>354</v>
      </c>
      <c r="E263">
        <f t="shared" si="46"/>
        <v>5</v>
      </c>
    </row>
    <row r="264" spans="1:5" x14ac:dyDescent="0.25">
      <c r="A264" t="s">
        <v>249</v>
      </c>
      <c r="B264">
        <v>15.311500000000001</v>
      </c>
      <c r="C264">
        <v>153</v>
      </c>
      <c r="D264" t="s">
        <v>354</v>
      </c>
      <c r="E264">
        <f t="shared" si="46"/>
        <v>6</v>
      </c>
    </row>
    <row r="265" spans="1:5" x14ac:dyDescent="0.25">
      <c r="A265" t="s">
        <v>250</v>
      </c>
      <c r="B265">
        <v>17.167400000000001</v>
      </c>
      <c r="C265">
        <v>153</v>
      </c>
      <c r="D265" t="s">
        <v>354</v>
      </c>
      <c r="E265">
        <f t="shared" si="46"/>
        <v>6</v>
      </c>
    </row>
    <row r="266" spans="1:5" x14ac:dyDescent="0.25">
      <c r="A266" t="s">
        <v>251</v>
      </c>
      <c r="B266">
        <v>35.206499999999998</v>
      </c>
      <c r="C266">
        <v>153</v>
      </c>
      <c r="D266" t="s">
        <v>354</v>
      </c>
      <c r="E266">
        <f t="shared" si="46"/>
        <v>6</v>
      </c>
    </row>
    <row r="267" spans="1:5" x14ac:dyDescent="0.25">
      <c r="A267" t="s">
        <v>252</v>
      </c>
      <c r="B267">
        <v>94.865099999999998</v>
      </c>
      <c r="C267">
        <v>122</v>
      </c>
      <c r="D267" t="s">
        <v>354</v>
      </c>
      <c r="E267">
        <f t="shared" si="46"/>
        <v>5</v>
      </c>
    </row>
    <row r="268" spans="1:5" x14ac:dyDescent="0.25">
      <c r="A268" t="s">
        <v>253</v>
      </c>
      <c r="B268">
        <v>13.0229</v>
      </c>
      <c r="C268">
        <v>122</v>
      </c>
      <c r="D268" t="s">
        <v>354</v>
      </c>
      <c r="E268">
        <f t="shared" si="46"/>
        <v>5</v>
      </c>
    </row>
    <row r="269" spans="1:5" x14ac:dyDescent="0.25">
      <c r="A269" t="s">
        <v>254</v>
      </c>
      <c r="B269">
        <v>15.757199999999999</v>
      </c>
      <c r="C269">
        <v>91</v>
      </c>
      <c r="D269" t="s">
        <v>354</v>
      </c>
      <c r="E269">
        <f t="shared" si="46"/>
        <v>4</v>
      </c>
    </row>
    <row r="270" spans="1:5" x14ac:dyDescent="0.25">
      <c r="A270" t="s">
        <v>255</v>
      </c>
      <c r="B270">
        <v>4.4538000000000002</v>
      </c>
      <c r="C270">
        <v>456</v>
      </c>
      <c r="D270" t="s">
        <v>354</v>
      </c>
      <c r="E270">
        <f t="shared" si="46"/>
        <v>16</v>
      </c>
    </row>
    <row r="271" spans="1:5" x14ac:dyDescent="0.25">
      <c r="A271" t="s">
        <v>256</v>
      </c>
      <c r="B271">
        <v>107.7208</v>
      </c>
      <c r="C271">
        <v>204</v>
      </c>
      <c r="D271" t="s">
        <v>354</v>
      </c>
      <c r="E271">
        <f t="shared" si="46"/>
        <v>7</v>
      </c>
    </row>
    <row r="272" spans="1:5" x14ac:dyDescent="0.25">
      <c r="A272" t="s">
        <v>257</v>
      </c>
      <c r="B272">
        <v>18.320599999999999</v>
      </c>
      <c r="C272">
        <v>30</v>
      </c>
      <c r="D272" t="s">
        <v>354</v>
      </c>
      <c r="E272">
        <f t="shared" si="46"/>
        <v>1</v>
      </c>
    </row>
    <row r="273" spans="1:5" x14ac:dyDescent="0.25">
      <c r="A273" t="s">
        <v>258</v>
      </c>
      <c r="B273">
        <v>53.571399999999997</v>
      </c>
      <c r="C273">
        <v>198</v>
      </c>
      <c r="D273" t="s">
        <v>354</v>
      </c>
      <c r="E273">
        <f t="shared" si="46"/>
        <v>7</v>
      </c>
    </row>
    <row r="274" spans="1:5" x14ac:dyDescent="0.25">
      <c r="A274" t="s">
        <v>259</v>
      </c>
      <c r="B274">
        <v>70.841899999999995</v>
      </c>
      <c r="C274">
        <v>202</v>
      </c>
      <c r="D274" t="s">
        <v>354</v>
      </c>
      <c r="E274">
        <f t="shared" si="46"/>
        <v>7</v>
      </c>
    </row>
    <row r="275" spans="1:5" x14ac:dyDescent="0.25">
      <c r="A275" t="s">
        <v>260</v>
      </c>
      <c r="B275">
        <v>27.611599999999999</v>
      </c>
      <c r="C275">
        <v>260</v>
      </c>
      <c r="D275" t="s">
        <v>354</v>
      </c>
      <c r="E275">
        <f t="shared" si="46"/>
        <v>9</v>
      </c>
    </row>
    <row r="276" spans="1:5" x14ac:dyDescent="0.25">
      <c r="A276" t="s">
        <v>261</v>
      </c>
      <c r="B276">
        <v>32.7042</v>
      </c>
      <c r="C276">
        <v>271</v>
      </c>
      <c r="D276" t="s">
        <v>354</v>
      </c>
      <c r="E276">
        <f t="shared" si="46"/>
        <v>10</v>
      </c>
    </row>
    <row r="277" spans="1:5" x14ac:dyDescent="0.25">
      <c r="A277" t="s">
        <v>262</v>
      </c>
      <c r="B277">
        <v>16.8475</v>
      </c>
      <c r="C277">
        <v>17</v>
      </c>
      <c r="D277" t="s">
        <v>354</v>
      </c>
      <c r="E277">
        <f t="shared" si="46"/>
        <v>1</v>
      </c>
    </row>
    <row r="278" spans="1:5" x14ac:dyDescent="0.25">
      <c r="A278" t="s">
        <v>263</v>
      </c>
      <c r="B278">
        <v>10.105399999999999</v>
      </c>
      <c r="C278">
        <v>107</v>
      </c>
      <c r="D278" t="s">
        <v>354</v>
      </c>
      <c r="E278">
        <f t="shared" si="46"/>
        <v>4</v>
      </c>
    </row>
    <row r="279" spans="1:5" x14ac:dyDescent="0.25">
      <c r="A279" t="s">
        <v>264</v>
      </c>
      <c r="B279">
        <v>73.415400000000005</v>
      </c>
      <c r="C279">
        <v>40</v>
      </c>
      <c r="D279" t="s">
        <v>354</v>
      </c>
      <c r="E279">
        <f t="shared" si="46"/>
        <v>2</v>
      </c>
    </row>
    <row r="280" spans="1:5" x14ac:dyDescent="0.25">
      <c r="A280" t="s">
        <v>265</v>
      </c>
      <c r="B280">
        <v>57.157299999999999</v>
      </c>
      <c r="C280">
        <v>241</v>
      </c>
      <c r="D280" t="s">
        <v>354</v>
      </c>
      <c r="E280">
        <f t="shared" si="46"/>
        <v>9</v>
      </c>
    </row>
    <row r="281" spans="1:5" x14ac:dyDescent="0.25">
      <c r="A281" t="s">
        <v>266</v>
      </c>
      <c r="B281">
        <v>8.7687000000000008</v>
      </c>
      <c r="C281">
        <v>10</v>
      </c>
      <c r="D281" t="s">
        <v>354</v>
      </c>
      <c r="E281">
        <f t="shared" si="46"/>
        <v>1</v>
      </c>
    </row>
    <row r="282" spans="1:5" x14ac:dyDescent="0.25">
      <c r="A282" t="s">
        <v>267</v>
      </c>
      <c r="B282">
        <v>933.9819</v>
      </c>
      <c r="C282">
        <v>287</v>
      </c>
      <c r="D282" t="s">
        <v>354</v>
      </c>
      <c r="E282">
        <f t="shared" si="46"/>
        <v>10</v>
      </c>
    </row>
    <row r="283" spans="1:5" x14ac:dyDescent="0.25">
      <c r="A283" t="s">
        <v>268</v>
      </c>
      <c r="B283">
        <v>92.287899999999993</v>
      </c>
      <c r="C283">
        <v>137</v>
      </c>
      <c r="D283" t="s">
        <v>354</v>
      </c>
      <c r="E283">
        <f t="shared" si="46"/>
        <v>5</v>
      </c>
    </row>
    <row r="284" spans="1:5" x14ac:dyDescent="0.25">
      <c r="A284" t="s">
        <v>269</v>
      </c>
      <c r="B284">
        <v>3.5914999999999999</v>
      </c>
      <c r="C284">
        <v>246</v>
      </c>
      <c r="D284" t="s">
        <v>354</v>
      </c>
      <c r="E284">
        <f t="shared" si="46"/>
        <v>9</v>
      </c>
    </row>
    <row r="285" spans="1:5" x14ac:dyDescent="0.25">
      <c r="A285" t="s">
        <v>270</v>
      </c>
      <c r="B285">
        <v>5.5820999999999996</v>
      </c>
      <c r="C285">
        <v>145</v>
      </c>
      <c r="D285" t="s">
        <v>354</v>
      </c>
      <c r="E285">
        <f t="shared" si="46"/>
        <v>5</v>
      </c>
    </row>
    <row r="286" spans="1:5" x14ac:dyDescent="0.25">
      <c r="A286" t="s">
        <v>271</v>
      </c>
      <c r="B286">
        <v>342.44170000000003</v>
      </c>
      <c r="C286">
        <v>186</v>
      </c>
      <c r="D286" t="s">
        <v>354</v>
      </c>
      <c r="E286">
        <f t="shared" si="46"/>
        <v>7</v>
      </c>
    </row>
    <row r="287" spans="1:5" x14ac:dyDescent="0.25">
      <c r="A287" t="s">
        <v>272</v>
      </c>
      <c r="B287">
        <v>1.0552999999999999</v>
      </c>
      <c r="C287">
        <v>108</v>
      </c>
      <c r="D287" t="s">
        <v>354</v>
      </c>
      <c r="E287">
        <f t="shared" si="46"/>
        <v>4</v>
      </c>
    </row>
    <row r="288" spans="1:5" x14ac:dyDescent="0.25">
      <c r="A288" t="s">
        <v>273</v>
      </c>
      <c r="B288">
        <v>135.73310000000001</v>
      </c>
      <c r="C288">
        <v>45</v>
      </c>
      <c r="D288" t="s">
        <v>354</v>
      </c>
      <c r="E288">
        <f t="shared" si="46"/>
        <v>2</v>
      </c>
    </row>
    <row r="289" spans="1:5" x14ac:dyDescent="0.25">
      <c r="A289" t="s">
        <v>274</v>
      </c>
      <c r="B289">
        <v>666.53539999999998</v>
      </c>
      <c r="C289">
        <v>112</v>
      </c>
      <c r="D289" t="s">
        <v>354</v>
      </c>
      <c r="E289">
        <f t="shared" si="46"/>
        <v>4</v>
      </c>
    </row>
    <row r="290" spans="1:5" x14ac:dyDescent="0.25">
      <c r="A290" t="s">
        <v>275</v>
      </c>
      <c r="B290">
        <v>5.4001000000000001</v>
      </c>
      <c r="C290">
        <v>134</v>
      </c>
      <c r="D290" t="s">
        <v>354</v>
      </c>
      <c r="E290">
        <f t="shared" si="46"/>
        <v>5</v>
      </c>
    </row>
    <row r="291" spans="1:5" x14ac:dyDescent="0.25">
      <c r="A291" t="s">
        <v>276</v>
      </c>
      <c r="B291">
        <v>601.01419999999996</v>
      </c>
      <c r="C291">
        <v>43</v>
      </c>
      <c r="D291" t="s">
        <v>354</v>
      </c>
      <c r="E291">
        <f t="shared" si="46"/>
        <v>2</v>
      </c>
    </row>
    <row r="292" spans="1:5" x14ac:dyDescent="0.25">
      <c r="A292" t="s">
        <v>277</v>
      </c>
      <c r="B292">
        <v>30.4283</v>
      </c>
      <c r="C292">
        <v>89</v>
      </c>
      <c r="D292" t="s">
        <v>354</v>
      </c>
      <c r="E292">
        <f t="shared" si="46"/>
        <v>3</v>
      </c>
    </row>
    <row r="293" spans="1:5" x14ac:dyDescent="0.25">
      <c r="A293" t="s">
        <v>278</v>
      </c>
      <c r="B293">
        <v>186.62119999999999</v>
      </c>
      <c r="C293">
        <v>95</v>
      </c>
      <c r="D293" t="s">
        <v>354</v>
      </c>
      <c r="E293">
        <f t="shared" si="46"/>
        <v>4</v>
      </c>
    </row>
    <row r="294" spans="1:5" x14ac:dyDescent="0.25">
      <c r="A294" t="s">
        <v>279</v>
      </c>
      <c r="B294">
        <v>85.742500000000007</v>
      </c>
      <c r="C294">
        <v>67</v>
      </c>
      <c r="D294" t="s">
        <v>354</v>
      </c>
      <c r="E294">
        <f t="shared" si="46"/>
        <v>3</v>
      </c>
    </row>
    <row r="295" spans="1:5" x14ac:dyDescent="0.25">
      <c r="A295" t="s">
        <v>280</v>
      </c>
      <c r="B295">
        <v>12.350899999999999</v>
      </c>
      <c r="C295">
        <v>20</v>
      </c>
      <c r="D295" t="s">
        <v>354</v>
      </c>
      <c r="E295">
        <f t="shared" si="46"/>
        <v>1</v>
      </c>
    </row>
    <row r="296" spans="1:5" x14ac:dyDescent="0.25">
      <c r="A296" t="s">
        <v>281</v>
      </c>
      <c r="B296">
        <v>17.732299999999999</v>
      </c>
      <c r="C296">
        <v>146</v>
      </c>
      <c r="D296" t="s">
        <v>354</v>
      </c>
      <c r="E296">
        <f t="shared" si="46"/>
        <v>5</v>
      </c>
    </row>
    <row r="297" spans="1:5" x14ac:dyDescent="0.25">
      <c r="A297" t="s">
        <v>282</v>
      </c>
      <c r="B297">
        <v>92.954099999999997</v>
      </c>
      <c r="C297">
        <v>46</v>
      </c>
      <c r="D297" t="s">
        <v>354</v>
      </c>
      <c r="E297">
        <f t="shared" si="46"/>
        <v>2</v>
      </c>
    </row>
    <row r="298" spans="1:5" x14ac:dyDescent="0.25">
      <c r="A298" t="s">
        <v>283</v>
      </c>
      <c r="B298">
        <v>50.514499999999998</v>
      </c>
      <c r="C298">
        <v>43</v>
      </c>
      <c r="D298" t="s">
        <v>354</v>
      </c>
      <c r="E298">
        <f t="shared" si="46"/>
        <v>2</v>
      </c>
    </row>
    <row r="299" spans="1:5" x14ac:dyDescent="0.25">
      <c r="A299" t="s">
        <v>284</v>
      </c>
      <c r="B299">
        <v>147.06209999999999</v>
      </c>
      <c r="C299">
        <v>19</v>
      </c>
      <c r="D299" t="s">
        <v>354</v>
      </c>
      <c r="E299">
        <f t="shared" si="46"/>
        <v>1</v>
      </c>
    </row>
    <row r="300" spans="1:5" x14ac:dyDescent="0.25">
      <c r="A300" t="s">
        <v>285</v>
      </c>
      <c r="B300">
        <v>63.902799999999999</v>
      </c>
      <c r="C300">
        <v>41</v>
      </c>
      <c r="D300" t="s">
        <v>354</v>
      </c>
      <c r="E300">
        <f t="shared" si="46"/>
        <v>2</v>
      </c>
    </row>
    <row r="301" spans="1:5" x14ac:dyDescent="0.25">
      <c r="A301" t="s">
        <v>286</v>
      </c>
      <c r="B301">
        <v>5.4610000000000003</v>
      </c>
      <c r="C301">
        <v>3429</v>
      </c>
      <c r="D301" t="s">
        <v>354</v>
      </c>
      <c r="E301">
        <f t="shared" si="46"/>
        <v>115</v>
      </c>
    </row>
    <row r="302" spans="1:5" x14ac:dyDescent="0.25">
      <c r="A302" t="s">
        <v>287</v>
      </c>
      <c r="B302">
        <v>14.99</v>
      </c>
      <c r="C302">
        <v>3625</v>
      </c>
      <c r="D302" t="s">
        <v>354</v>
      </c>
      <c r="E302">
        <f t="shared" si="46"/>
        <v>121</v>
      </c>
    </row>
    <row r="303" spans="1:5" x14ac:dyDescent="0.25">
      <c r="A303" t="s">
        <v>36</v>
      </c>
      <c r="B303">
        <v>0.81530000000000002</v>
      </c>
      <c r="C303">
        <v>2821</v>
      </c>
      <c r="D303" t="s">
        <v>354</v>
      </c>
      <c r="E303">
        <f t="shared" si="46"/>
        <v>95</v>
      </c>
    </row>
    <row r="304" spans="1:5" x14ac:dyDescent="0.25">
      <c r="A304" t="s">
        <v>37</v>
      </c>
      <c r="B304">
        <v>5.9297000000000004</v>
      </c>
      <c r="C304">
        <v>1518</v>
      </c>
      <c r="D304" t="s">
        <v>354</v>
      </c>
      <c r="E304">
        <f t="shared" si="46"/>
        <v>51</v>
      </c>
    </row>
    <row r="305" spans="1:5" x14ac:dyDescent="0.25">
      <c r="A305" t="s">
        <v>38</v>
      </c>
      <c r="B305">
        <v>49.554000000000002</v>
      </c>
      <c r="C305">
        <v>383</v>
      </c>
      <c r="D305" t="s">
        <v>354</v>
      </c>
      <c r="E305">
        <f t="shared" si="46"/>
        <v>13</v>
      </c>
    </row>
    <row r="306" spans="1:5" x14ac:dyDescent="0.25">
      <c r="A306" t="s">
        <v>288</v>
      </c>
      <c r="B306">
        <v>7.6158999999999999</v>
      </c>
      <c r="C306">
        <v>3920</v>
      </c>
      <c r="D306" t="s">
        <v>354</v>
      </c>
      <c r="E306">
        <f t="shared" si="46"/>
        <v>131</v>
      </c>
    </row>
    <row r="307" spans="1:5" x14ac:dyDescent="0.25">
      <c r="A307" t="s">
        <v>39</v>
      </c>
      <c r="B307">
        <v>1.5908</v>
      </c>
      <c r="C307">
        <v>228</v>
      </c>
      <c r="D307" t="s">
        <v>354</v>
      </c>
      <c r="E307">
        <f t="shared" si="46"/>
        <v>8</v>
      </c>
    </row>
    <row r="308" spans="1:5" x14ac:dyDescent="0.25">
      <c r="A308" t="s">
        <v>40</v>
      </c>
      <c r="B308">
        <v>3.4409000000000001</v>
      </c>
      <c r="C308">
        <v>1348</v>
      </c>
      <c r="D308" t="s">
        <v>354</v>
      </c>
      <c r="E308">
        <f t="shared" si="46"/>
        <v>45</v>
      </c>
    </row>
    <row r="309" spans="1:5" x14ac:dyDescent="0.25">
      <c r="A309" t="s">
        <v>289</v>
      </c>
      <c r="B309">
        <v>30.345400000000001</v>
      </c>
      <c r="C309">
        <v>3924</v>
      </c>
      <c r="D309" t="s">
        <v>354</v>
      </c>
      <c r="E309">
        <f t="shared" si="46"/>
        <v>131</v>
      </c>
    </row>
    <row r="310" spans="1:5" x14ac:dyDescent="0.25">
      <c r="A310" t="s">
        <v>290</v>
      </c>
      <c r="B310">
        <v>310.69920000000002</v>
      </c>
      <c r="C310">
        <v>3786</v>
      </c>
      <c r="D310" t="s">
        <v>354</v>
      </c>
      <c r="E310">
        <f t="shared" si="46"/>
        <v>127</v>
      </c>
    </row>
    <row r="311" spans="1:5" x14ac:dyDescent="0.25">
      <c r="A311" t="s">
        <v>41</v>
      </c>
      <c r="B311">
        <v>227.4855</v>
      </c>
      <c r="C311">
        <v>236</v>
      </c>
      <c r="D311" t="s">
        <v>354</v>
      </c>
      <c r="E311">
        <f t="shared" si="46"/>
        <v>8</v>
      </c>
    </row>
    <row r="312" spans="1:5" x14ac:dyDescent="0.25">
      <c r="A312" t="s">
        <v>291</v>
      </c>
      <c r="B312">
        <v>3.8412000000000002</v>
      </c>
      <c r="C312">
        <v>4122</v>
      </c>
      <c r="D312" t="s">
        <v>354</v>
      </c>
      <c r="E312">
        <f t="shared" si="46"/>
        <v>138</v>
      </c>
    </row>
    <row r="313" spans="1:5" x14ac:dyDescent="0.25">
      <c r="A313" t="s">
        <v>43</v>
      </c>
      <c r="B313">
        <v>7.2798999999999996</v>
      </c>
      <c r="C313">
        <v>427</v>
      </c>
      <c r="D313" t="s">
        <v>354</v>
      </c>
      <c r="E313">
        <f t="shared" si="46"/>
        <v>15</v>
      </c>
    </row>
    <row r="314" spans="1:5" x14ac:dyDescent="0.25">
      <c r="A314" t="s">
        <v>44</v>
      </c>
      <c r="B314">
        <v>18.5732</v>
      </c>
      <c r="C314">
        <v>805</v>
      </c>
      <c r="D314" t="s">
        <v>354</v>
      </c>
      <c r="E314">
        <f t="shared" si="46"/>
        <v>27</v>
      </c>
    </row>
    <row r="315" spans="1:5" x14ac:dyDescent="0.25">
      <c r="A315" t="s">
        <v>45</v>
      </c>
      <c r="B315">
        <v>2.4731999999999998</v>
      </c>
      <c r="C315">
        <v>2475</v>
      </c>
      <c r="D315" t="s">
        <v>354</v>
      </c>
      <c r="E315">
        <f t="shared" si="46"/>
        <v>83</v>
      </c>
    </row>
    <row r="316" spans="1:5" x14ac:dyDescent="0.25">
      <c r="A316" t="s">
        <v>292</v>
      </c>
      <c r="B316">
        <v>84.867500000000007</v>
      </c>
      <c r="C316">
        <v>3530</v>
      </c>
      <c r="D316" t="s">
        <v>354</v>
      </c>
      <c r="E316">
        <f t="shared" si="46"/>
        <v>118</v>
      </c>
    </row>
    <row r="317" spans="1:5" x14ac:dyDescent="0.25">
      <c r="A317" t="s">
        <v>46</v>
      </c>
      <c r="B317">
        <v>13.59</v>
      </c>
      <c r="C317">
        <v>1094</v>
      </c>
      <c r="D317" t="s">
        <v>354</v>
      </c>
      <c r="E317">
        <f t="shared" si="46"/>
        <v>37</v>
      </c>
    </row>
    <row r="318" spans="1:5" x14ac:dyDescent="0.25">
      <c r="A318" t="s">
        <v>47</v>
      </c>
      <c r="B318">
        <v>5.0458999999999996</v>
      </c>
      <c r="C318">
        <v>1849</v>
      </c>
      <c r="D318" t="s">
        <v>354</v>
      </c>
      <c r="E318">
        <f t="shared" si="46"/>
        <v>62</v>
      </c>
    </row>
    <row r="319" spans="1:5" x14ac:dyDescent="0.25">
      <c r="A319" t="s">
        <v>293</v>
      </c>
      <c r="B319">
        <v>4.7431000000000001</v>
      </c>
      <c r="C319">
        <v>3423</v>
      </c>
      <c r="D319" t="s">
        <v>354</v>
      </c>
      <c r="E319">
        <f t="shared" si="46"/>
        <v>115</v>
      </c>
    </row>
    <row r="320" spans="1:5" x14ac:dyDescent="0.25">
      <c r="A320" t="s">
        <v>294</v>
      </c>
      <c r="B320">
        <v>21.784199999999998</v>
      </c>
      <c r="C320">
        <v>2835</v>
      </c>
      <c r="D320" t="s">
        <v>354</v>
      </c>
      <c r="E320">
        <f t="shared" si="46"/>
        <v>95</v>
      </c>
    </row>
    <row r="321" spans="1:5" x14ac:dyDescent="0.25">
      <c r="A321" t="s">
        <v>295</v>
      </c>
      <c r="B321">
        <v>1.0909</v>
      </c>
      <c r="C321">
        <v>2775</v>
      </c>
      <c r="D321" t="s">
        <v>354</v>
      </c>
      <c r="E321">
        <f t="shared" si="46"/>
        <v>93</v>
      </c>
    </row>
    <row r="322" spans="1:5" x14ac:dyDescent="0.25">
      <c r="A322" t="s">
        <v>296</v>
      </c>
      <c r="B322">
        <v>62.793700000000001</v>
      </c>
      <c r="C322">
        <v>0</v>
      </c>
      <c r="D322" t="s">
        <v>354</v>
      </c>
      <c r="E322">
        <f t="shared" si="46"/>
        <v>0</v>
      </c>
    </row>
    <row r="323" spans="1:5" x14ac:dyDescent="0.25">
      <c r="A323" t="s">
        <v>297</v>
      </c>
      <c r="B323">
        <v>13.5558</v>
      </c>
      <c r="C323">
        <v>0</v>
      </c>
      <c r="D323" t="s">
        <v>354</v>
      </c>
      <c r="E323">
        <f t="shared" ref="E323:E380" si="47">INT((C323-1)/30)+1</f>
        <v>0</v>
      </c>
    </row>
    <row r="324" spans="1:5" x14ac:dyDescent="0.25">
      <c r="A324" t="s">
        <v>298</v>
      </c>
      <c r="B324">
        <v>7.7994000000000003</v>
      </c>
      <c r="C324">
        <v>0</v>
      </c>
      <c r="D324" t="s">
        <v>354</v>
      </c>
      <c r="E324">
        <f t="shared" si="47"/>
        <v>0</v>
      </c>
    </row>
    <row r="325" spans="1:5" x14ac:dyDescent="0.25">
      <c r="A325" t="s">
        <v>299</v>
      </c>
      <c r="B325">
        <v>29.5</v>
      </c>
      <c r="C325">
        <v>0</v>
      </c>
      <c r="D325" t="s">
        <v>354</v>
      </c>
      <c r="E325">
        <f t="shared" si="47"/>
        <v>0</v>
      </c>
    </row>
    <row r="326" spans="1:5" x14ac:dyDescent="0.25">
      <c r="A326" t="s">
        <v>300</v>
      </c>
      <c r="B326">
        <v>8.6321999999999992</v>
      </c>
      <c r="C326">
        <v>0</v>
      </c>
      <c r="D326" t="s">
        <v>354</v>
      </c>
      <c r="E326">
        <f t="shared" si="47"/>
        <v>0</v>
      </c>
    </row>
    <row r="327" spans="1:5" x14ac:dyDescent="0.25">
      <c r="A327" t="s">
        <v>301</v>
      </c>
      <c r="B327">
        <v>10.5421</v>
      </c>
      <c r="C327">
        <v>0</v>
      </c>
      <c r="D327" t="s">
        <v>354</v>
      </c>
      <c r="E327">
        <f t="shared" si="47"/>
        <v>0</v>
      </c>
    </row>
    <row r="328" spans="1:5" x14ac:dyDescent="0.25">
      <c r="A328" t="s">
        <v>302</v>
      </c>
      <c r="B328">
        <v>33.168100000000003</v>
      </c>
      <c r="C328">
        <v>56</v>
      </c>
      <c r="D328" t="s">
        <v>354</v>
      </c>
      <c r="E328">
        <f t="shared" si="47"/>
        <v>2</v>
      </c>
    </row>
    <row r="329" spans="1:5" x14ac:dyDescent="0.25">
      <c r="A329" t="s">
        <v>303</v>
      </c>
      <c r="B329">
        <v>23.3095</v>
      </c>
      <c r="C329">
        <v>47</v>
      </c>
      <c r="D329" t="s">
        <v>354</v>
      </c>
      <c r="E329">
        <f t="shared" si="47"/>
        <v>2</v>
      </c>
    </row>
    <row r="330" spans="1:5" x14ac:dyDescent="0.25">
      <c r="A330" t="s">
        <v>304</v>
      </c>
      <c r="B330">
        <v>23.024000000000001</v>
      </c>
      <c r="C330">
        <v>16</v>
      </c>
      <c r="D330" t="s">
        <v>354</v>
      </c>
      <c r="E330">
        <f t="shared" si="47"/>
        <v>1</v>
      </c>
    </row>
    <row r="331" spans="1:5" x14ac:dyDescent="0.25">
      <c r="A331" t="s">
        <v>305</v>
      </c>
      <c r="B331">
        <v>137.97720000000001</v>
      </c>
      <c r="C331">
        <v>20</v>
      </c>
      <c r="D331" t="s">
        <v>354</v>
      </c>
      <c r="E331">
        <f t="shared" si="47"/>
        <v>1</v>
      </c>
    </row>
    <row r="332" spans="1:5" x14ac:dyDescent="0.25">
      <c r="A332" t="s">
        <v>306</v>
      </c>
      <c r="B332">
        <v>58.428100000000001</v>
      </c>
      <c r="C332">
        <v>16</v>
      </c>
      <c r="D332" t="s">
        <v>354</v>
      </c>
      <c r="E332">
        <f t="shared" si="47"/>
        <v>1</v>
      </c>
    </row>
    <row r="333" spans="1:5" x14ac:dyDescent="0.25">
      <c r="A333" t="s">
        <v>307</v>
      </c>
      <c r="B333">
        <v>81.113100000000003</v>
      </c>
      <c r="C333">
        <v>14</v>
      </c>
      <c r="D333" t="s">
        <v>354</v>
      </c>
      <c r="E333">
        <f t="shared" si="47"/>
        <v>1</v>
      </c>
    </row>
    <row r="334" spans="1:5" x14ac:dyDescent="0.25">
      <c r="A334" t="s">
        <v>308</v>
      </c>
      <c r="B334">
        <v>8.8983000000000008</v>
      </c>
      <c r="C334">
        <v>39</v>
      </c>
      <c r="D334" t="s">
        <v>354</v>
      </c>
      <c r="E334">
        <f t="shared" si="47"/>
        <v>2</v>
      </c>
    </row>
    <row r="335" spans="1:5" x14ac:dyDescent="0.25">
      <c r="A335" t="s">
        <v>309</v>
      </c>
      <c r="B335">
        <v>112.2405</v>
      </c>
      <c r="C335">
        <v>16</v>
      </c>
      <c r="D335" t="s">
        <v>354</v>
      </c>
      <c r="E335">
        <f t="shared" si="47"/>
        <v>1</v>
      </c>
    </row>
    <row r="336" spans="1:5" x14ac:dyDescent="0.25">
      <c r="A336" t="s">
        <v>310</v>
      </c>
      <c r="B336">
        <v>17.0185</v>
      </c>
      <c r="C336">
        <v>42</v>
      </c>
      <c r="D336" t="s">
        <v>354</v>
      </c>
      <c r="E336">
        <f t="shared" si="47"/>
        <v>2</v>
      </c>
    </row>
    <row r="337" spans="1:5" x14ac:dyDescent="0.25">
      <c r="A337" t="s">
        <v>311</v>
      </c>
      <c r="B337">
        <v>11.881</v>
      </c>
      <c r="C337">
        <v>20</v>
      </c>
      <c r="D337" t="s">
        <v>354</v>
      </c>
      <c r="E337">
        <f t="shared" si="47"/>
        <v>1</v>
      </c>
    </row>
    <row r="338" spans="1:5" x14ac:dyDescent="0.25">
      <c r="A338" t="s">
        <v>312</v>
      </c>
      <c r="B338">
        <v>30.7529</v>
      </c>
      <c r="C338">
        <v>3203</v>
      </c>
      <c r="D338" t="s">
        <v>354</v>
      </c>
      <c r="E338">
        <f t="shared" si="47"/>
        <v>107</v>
      </c>
    </row>
    <row r="339" spans="1:5" x14ac:dyDescent="0.25">
      <c r="A339" t="s">
        <v>313</v>
      </c>
      <c r="B339">
        <v>11.177300000000001</v>
      </c>
      <c r="C339">
        <v>254</v>
      </c>
      <c r="D339" t="s">
        <v>354</v>
      </c>
      <c r="E339">
        <f t="shared" si="47"/>
        <v>9</v>
      </c>
    </row>
    <row r="340" spans="1:5" x14ac:dyDescent="0.25">
      <c r="A340" t="s">
        <v>314</v>
      </c>
      <c r="B340">
        <v>41.706600000000002</v>
      </c>
      <c r="C340">
        <v>2289</v>
      </c>
      <c r="D340" t="s">
        <v>354</v>
      </c>
      <c r="E340">
        <f t="shared" si="47"/>
        <v>77</v>
      </c>
    </row>
    <row r="341" spans="1:5" x14ac:dyDescent="0.25">
      <c r="A341" t="s">
        <v>315</v>
      </c>
      <c r="B341">
        <v>11.828900000000001</v>
      </c>
      <c r="C341">
        <v>2077</v>
      </c>
      <c r="D341" t="s">
        <v>354</v>
      </c>
      <c r="E341">
        <f t="shared" si="47"/>
        <v>70</v>
      </c>
    </row>
    <row r="342" spans="1:5" x14ac:dyDescent="0.25">
      <c r="A342" t="s">
        <v>316</v>
      </c>
      <c r="B342">
        <v>27.917400000000001</v>
      </c>
      <c r="C342">
        <v>1310</v>
      </c>
      <c r="D342" t="s">
        <v>354</v>
      </c>
      <c r="E342">
        <f t="shared" si="47"/>
        <v>44</v>
      </c>
    </row>
    <row r="343" spans="1:5" x14ac:dyDescent="0.25">
      <c r="A343" t="s">
        <v>317</v>
      </c>
      <c r="B343">
        <v>227.13589999999999</v>
      </c>
      <c r="C343">
        <v>1882</v>
      </c>
      <c r="D343" t="s">
        <v>354</v>
      </c>
      <c r="E343">
        <f t="shared" si="47"/>
        <v>63</v>
      </c>
    </row>
    <row r="344" spans="1:5" x14ac:dyDescent="0.25">
      <c r="A344" t="s">
        <v>318</v>
      </c>
      <c r="B344">
        <v>1.7466999999999999</v>
      </c>
      <c r="C344">
        <v>1631</v>
      </c>
      <c r="D344" t="s">
        <v>354</v>
      </c>
      <c r="E344">
        <f t="shared" si="47"/>
        <v>55</v>
      </c>
    </row>
    <row r="345" spans="1:5" x14ac:dyDescent="0.25">
      <c r="A345" t="s">
        <v>319</v>
      </c>
      <c r="B345">
        <v>166.08019999999999</v>
      </c>
      <c r="C345">
        <v>1359</v>
      </c>
      <c r="D345" t="s">
        <v>354</v>
      </c>
      <c r="E345">
        <f t="shared" si="47"/>
        <v>46</v>
      </c>
    </row>
    <row r="346" spans="1:5" x14ac:dyDescent="0.25">
      <c r="A346" t="s">
        <v>320</v>
      </c>
      <c r="B346">
        <v>3.0021</v>
      </c>
      <c r="C346">
        <v>1485</v>
      </c>
      <c r="D346" t="s">
        <v>354</v>
      </c>
      <c r="E346">
        <f t="shared" si="47"/>
        <v>50</v>
      </c>
    </row>
    <row r="347" spans="1:5" x14ac:dyDescent="0.25">
      <c r="A347" t="s">
        <v>321</v>
      </c>
      <c r="B347">
        <v>114.949</v>
      </c>
      <c r="C347">
        <v>1386</v>
      </c>
      <c r="D347" t="s">
        <v>354</v>
      </c>
      <c r="E347">
        <f t="shared" si="47"/>
        <v>47</v>
      </c>
    </row>
    <row r="348" spans="1:5" x14ac:dyDescent="0.25">
      <c r="A348" t="s">
        <v>322</v>
      </c>
      <c r="B348">
        <v>5.2394999999999996</v>
      </c>
      <c r="C348">
        <v>1205</v>
      </c>
      <c r="D348" t="s">
        <v>354</v>
      </c>
      <c r="E348">
        <f t="shared" si="47"/>
        <v>41</v>
      </c>
    </row>
    <row r="349" spans="1:5" x14ac:dyDescent="0.25">
      <c r="A349" t="s">
        <v>323</v>
      </c>
      <c r="B349">
        <v>65.057699999999997</v>
      </c>
      <c r="C349">
        <v>1112</v>
      </c>
      <c r="D349" t="s">
        <v>354</v>
      </c>
      <c r="E349">
        <f t="shared" si="47"/>
        <v>38</v>
      </c>
    </row>
    <row r="350" spans="1:5" x14ac:dyDescent="0.25">
      <c r="A350" t="s">
        <v>324</v>
      </c>
      <c r="B350">
        <v>17.636299999999999</v>
      </c>
      <c r="C350">
        <v>1031</v>
      </c>
      <c r="D350" t="s">
        <v>354</v>
      </c>
      <c r="E350">
        <f t="shared" si="47"/>
        <v>35</v>
      </c>
    </row>
    <row r="351" spans="1:5" x14ac:dyDescent="0.25">
      <c r="A351" t="s">
        <v>325</v>
      </c>
      <c r="B351">
        <v>6.6837999999999997</v>
      </c>
      <c r="C351">
        <v>937</v>
      </c>
      <c r="D351" t="s">
        <v>354</v>
      </c>
      <c r="E351">
        <f t="shared" si="47"/>
        <v>32</v>
      </c>
    </row>
    <row r="352" spans="1:5" x14ac:dyDescent="0.25">
      <c r="A352" t="s">
        <v>326</v>
      </c>
      <c r="B352">
        <v>6.5537999999999998</v>
      </c>
      <c r="C352">
        <v>894</v>
      </c>
      <c r="D352" t="s">
        <v>354</v>
      </c>
      <c r="E352">
        <f t="shared" si="47"/>
        <v>30</v>
      </c>
    </row>
    <row r="353" spans="1:5" x14ac:dyDescent="0.25">
      <c r="A353" t="s">
        <v>326</v>
      </c>
      <c r="B353">
        <v>6.6189</v>
      </c>
      <c r="C353">
        <v>894</v>
      </c>
      <c r="D353" t="s">
        <v>354</v>
      </c>
      <c r="E353">
        <f t="shared" si="47"/>
        <v>30</v>
      </c>
    </row>
    <row r="354" spans="1:5" x14ac:dyDescent="0.25">
      <c r="A354" t="s">
        <v>327</v>
      </c>
      <c r="B354">
        <v>26.009599999999999</v>
      </c>
      <c r="C354">
        <v>678</v>
      </c>
      <c r="D354" t="s">
        <v>354</v>
      </c>
      <c r="E354">
        <f t="shared" si="47"/>
        <v>23</v>
      </c>
    </row>
    <row r="355" spans="1:5" x14ac:dyDescent="0.25">
      <c r="A355" t="s">
        <v>328</v>
      </c>
      <c r="B355">
        <v>3.9525999999999999</v>
      </c>
      <c r="C355">
        <v>572</v>
      </c>
      <c r="D355" t="s">
        <v>354</v>
      </c>
      <c r="E355">
        <f t="shared" si="47"/>
        <v>20</v>
      </c>
    </row>
    <row r="356" spans="1:5" x14ac:dyDescent="0.25">
      <c r="A356" t="s">
        <v>329</v>
      </c>
      <c r="B356">
        <v>34.7194</v>
      </c>
      <c r="C356">
        <v>547</v>
      </c>
      <c r="D356" t="s">
        <v>354</v>
      </c>
      <c r="E356">
        <f t="shared" si="47"/>
        <v>19</v>
      </c>
    </row>
    <row r="357" spans="1:5" x14ac:dyDescent="0.25">
      <c r="A357" t="s">
        <v>330</v>
      </c>
      <c r="B357">
        <v>0.59360000000000002</v>
      </c>
      <c r="C357">
        <v>201</v>
      </c>
      <c r="D357" t="s">
        <v>354</v>
      </c>
      <c r="E357">
        <f t="shared" si="47"/>
        <v>7</v>
      </c>
    </row>
    <row r="358" spans="1:5" x14ac:dyDescent="0.25">
      <c r="A358" t="s">
        <v>331</v>
      </c>
      <c r="B358">
        <v>32.326700000000002</v>
      </c>
      <c r="C358">
        <v>741</v>
      </c>
      <c r="D358" t="s">
        <v>354</v>
      </c>
      <c r="E358">
        <f t="shared" si="47"/>
        <v>25</v>
      </c>
    </row>
    <row r="359" spans="1:5" x14ac:dyDescent="0.25">
      <c r="A359" t="s">
        <v>332</v>
      </c>
      <c r="B359">
        <v>24.536799999999999</v>
      </c>
      <c r="C359">
        <v>644</v>
      </c>
      <c r="D359" t="s">
        <v>354</v>
      </c>
      <c r="E359">
        <f t="shared" si="47"/>
        <v>22</v>
      </c>
    </row>
    <row r="360" spans="1:5" x14ac:dyDescent="0.25">
      <c r="A360" t="s">
        <v>333</v>
      </c>
      <c r="B360">
        <v>22.222200000000001</v>
      </c>
      <c r="C360">
        <v>2673</v>
      </c>
      <c r="D360" t="s">
        <v>354</v>
      </c>
      <c r="E360">
        <f t="shared" si="47"/>
        <v>90</v>
      </c>
    </row>
    <row r="361" spans="1:5" x14ac:dyDescent="0.25">
      <c r="A361" t="s">
        <v>334</v>
      </c>
      <c r="B361">
        <v>60.069299999999998</v>
      </c>
      <c r="C361">
        <v>1434</v>
      </c>
      <c r="D361" t="s">
        <v>354</v>
      </c>
      <c r="E361">
        <f t="shared" si="47"/>
        <v>48</v>
      </c>
    </row>
    <row r="362" spans="1:5" x14ac:dyDescent="0.25">
      <c r="A362" t="s">
        <v>335</v>
      </c>
      <c r="B362">
        <v>68.408000000000001</v>
      </c>
      <c r="C362">
        <v>1606</v>
      </c>
      <c r="D362" t="s">
        <v>354</v>
      </c>
      <c r="E362">
        <f t="shared" si="47"/>
        <v>54</v>
      </c>
    </row>
    <row r="363" spans="1:5" x14ac:dyDescent="0.25">
      <c r="A363" t="s">
        <v>336</v>
      </c>
      <c r="B363">
        <v>46.2194</v>
      </c>
      <c r="C363">
        <v>125</v>
      </c>
      <c r="D363" t="s">
        <v>354</v>
      </c>
      <c r="E363">
        <f t="shared" si="47"/>
        <v>5</v>
      </c>
    </row>
    <row r="364" spans="1:5" x14ac:dyDescent="0.25">
      <c r="A364" t="s">
        <v>337</v>
      </c>
      <c r="B364">
        <v>608.995</v>
      </c>
      <c r="C364">
        <v>154</v>
      </c>
      <c r="D364" t="s">
        <v>354</v>
      </c>
      <c r="E364">
        <f t="shared" si="47"/>
        <v>6</v>
      </c>
    </row>
    <row r="365" spans="1:5" x14ac:dyDescent="0.25">
      <c r="A365" t="s">
        <v>338</v>
      </c>
      <c r="B365">
        <v>6.6829999999999998</v>
      </c>
      <c r="C365">
        <v>85</v>
      </c>
      <c r="D365" t="s">
        <v>354</v>
      </c>
      <c r="E365">
        <f t="shared" si="47"/>
        <v>3</v>
      </c>
    </row>
    <row r="366" spans="1:5" x14ac:dyDescent="0.25">
      <c r="A366" t="s">
        <v>339</v>
      </c>
      <c r="B366">
        <v>65.4465</v>
      </c>
      <c r="C366">
        <v>182</v>
      </c>
      <c r="D366" t="s">
        <v>354</v>
      </c>
      <c r="E366">
        <f t="shared" si="47"/>
        <v>7</v>
      </c>
    </row>
    <row r="367" spans="1:5" x14ac:dyDescent="0.25">
      <c r="A367" t="s">
        <v>340</v>
      </c>
      <c r="B367">
        <v>48.177900000000001</v>
      </c>
      <c r="C367">
        <v>170</v>
      </c>
      <c r="D367" t="s">
        <v>354</v>
      </c>
      <c r="E367">
        <f t="shared" si="47"/>
        <v>6</v>
      </c>
    </row>
    <row r="368" spans="1:5" x14ac:dyDescent="0.25">
      <c r="A368" t="s">
        <v>341</v>
      </c>
      <c r="B368">
        <v>8.6341999999999999</v>
      </c>
      <c r="C368">
        <v>40</v>
      </c>
      <c r="D368" t="s">
        <v>354</v>
      </c>
      <c r="E368">
        <f t="shared" si="47"/>
        <v>2</v>
      </c>
    </row>
    <row r="369" spans="1:5" x14ac:dyDescent="0.25">
      <c r="A369" t="s">
        <v>342</v>
      </c>
      <c r="B369">
        <v>0.4032</v>
      </c>
      <c r="C369">
        <v>158</v>
      </c>
      <c r="D369" t="s">
        <v>354</v>
      </c>
      <c r="E369">
        <f t="shared" si="47"/>
        <v>6</v>
      </c>
    </row>
    <row r="370" spans="1:5" x14ac:dyDescent="0.25">
      <c r="A370" t="s">
        <v>342</v>
      </c>
      <c r="B370">
        <v>38.717199999999998</v>
      </c>
      <c r="C370">
        <v>158</v>
      </c>
      <c r="D370" t="s">
        <v>354</v>
      </c>
      <c r="E370">
        <f t="shared" si="47"/>
        <v>6</v>
      </c>
    </row>
    <row r="371" spans="1:5" x14ac:dyDescent="0.25">
      <c r="A371" t="s">
        <v>343</v>
      </c>
      <c r="B371">
        <v>17.967400000000001</v>
      </c>
      <c r="C371">
        <v>167</v>
      </c>
      <c r="D371" t="s">
        <v>354</v>
      </c>
      <c r="E371">
        <f t="shared" si="47"/>
        <v>6</v>
      </c>
    </row>
    <row r="372" spans="1:5" x14ac:dyDescent="0.25">
      <c r="A372" t="s">
        <v>344</v>
      </c>
      <c r="B372">
        <v>7.4781000000000004</v>
      </c>
      <c r="C372">
        <v>821</v>
      </c>
      <c r="D372" t="s">
        <v>354</v>
      </c>
      <c r="E372">
        <f t="shared" si="47"/>
        <v>28</v>
      </c>
    </row>
    <row r="373" spans="1:5" x14ac:dyDescent="0.25">
      <c r="A373" t="s">
        <v>345</v>
      </c>
      <c r="B373">
        <v>29.955100000000002</v>
      </c>
      <c r="C373">
        <v>399</v>
      </c>
      <c r="D373" t="s">
        <v>354</v>
      </c>
      <c r="E373">
        <f t="shared" si="47"/>
        <v>14</v>
      </c>
    </row>
    <row r="374" spans="1:5" x14ac:dyDescent="0.25">
      <c r="A374" t="s">
        <v>346</v>
      </c>
      <c r="B374">
        <v>4.91</v>
      </c>
      <c r="C374">
        <v>526</v>
      </c>
      <c r="D374" t="s">
        <v>354</v>
      </c>
      <c r="E374">
        <f t="shared" si="47"/>
        <v>18</v>
      </c>
    </row>
    <row r="375" spans="1:5" x14ac:dyDescent="0.25">
      <c r="A375" t="s">
        <v>347</v>
      </c>
      <c r="B375">
        <v>5.7205000000000004</v>
      </c>
      <c r="C375">
        <v>202</v>
      </c>
      <c r="D375" t="s">
        <v>354</v>
      </c>
      <c r="E375">
        <f t="shared" si="47"/>
        <v>7</v>
      </c>
    </row>
    <row r="376" spans="1:5" x14ac:dyDescent="0.25">
      <c r="A376" t="s">
        <v>348</v>
      </c>
      <c r="B376">
        <v>20.226299999999998</v>
      </c>
      <c r="C376">
        <v>449</v>
      </c>
      <c r="D376" t="s">
        <v>354</v>
      </c>
      <c r="E376">
        <f t="shared" si="47"/>
        <v>15</v>
      </c>
    </row>
    <row r="377" spans="1:5" x14ac:dyDescent="0.25">
      <c r="A377" t="s">
        <v>349</v>
      </c>
      <c r="B377">
        <v>140.76519999999999</v>
      </c>
      <c r="C377">
        <v>295</v>
      </c>
      <c r="D377" t="s">
        <v>354</v>
      </c>
      <c r="E377">
        <f t="shared" si="47"/>
        <v>10</v>
      </c>
    </row>
    <row r="378" spans="1:5" x14ac:dyDescent="0.25">
      <c r="A378" t="s">
        <v>350</v>
      </c>
      <c r="B378">
        <v>26.793800000000001</v>
      </c>
      <c r="C378">
        <v>921</v>
      </c>
      <c r="D378" t="s">
        <v>354</v>
      </c>
      <c r="E378">
        <f t="shared" si="47"/>
        <v>31</v>
      </c>
    </row>
    <row r="379" spans="1:5" x14ac:dyDescent="0.25">
      <c r="A379" t="s">
        <v>351</v>
      </c>
      <c r="B379">
        <v>16.5364</v>
      </c>
      <c r="C379">
        <v>1829</v>
      </c>
      <c r="D379" t="s">
        <v>354</v>
      </c>
      <c r="E379">
        <f t="shared" si="47"/>
        <v>61</v>
      </c>
    </row>
    <row r="380" spans="1:5" x14ac:dyDescent="0.25">
      <c r="A380" t="s">
        <v>352</v>
      </c>
      <c r="B380">
        <v>785.67049999999995</v>
      </c>
      <c r="C380">
        <v>2038</v>
      </c>
      <c r="D380" t="s">
        <v>354</v>
      </c>
      <c r="E380">
        <f t="shared" si="47"/>
        <v>68</v>
      </c>
    </row>
  </sheetData>
  <sortState ref="A2:C102">
    <sortCondition ref="C2:C102"/>
  </sortState>
  <mergeCells count="2">
    <mergeCell ref="H1:L1"/>
    <mergeCell ref="M1:Q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COAD</vt:lpstr>
      <vt:lpstr>COAD!COAD_CONTACT_COR</vt:lpstr>
      <vt:lpstr>COAD!COAD_DEALTH_COR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2021-07-16T13:20:36Z</dcterms:modified>
</cp:coreProperties>
</file>