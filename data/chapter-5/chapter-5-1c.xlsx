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hi-Square" sheetId="1" r:id="rId1"/>
  </sheets>
  <definedNames>
    <definedName name="S">SUM('Chi-Square'!$B$3:$E$22)</definedName>
  </definedNames>
  <calcPr calcId="162913"/>
</workbook>
</file>

<file path=xl/calcChain.xml><?xml version="1.0" encoding="utf-8"?>
<calcChain xmlns="http://schemas.openxmlformats.org/spreadsheetml/2006/main">
  <c r="P1" i="1" l="1"/>
  <c r="P2" i="1" l="1"/>
  <c r="F21" i="1" l="1"/>
  <c r="J21" i="1" s="1"/>
  <c r="F19" i="1"/>
  <c r="J19" i="1" s="1"/>
  <c r="P3" i="1"/>
  <c r="F17" i="1"/>
  <c r="J17" i="1" s="1"/>
  <c r="G3" i="1"/>
  <c r="K3" i="1" s="1"/>
  <c r="F13" i="1"/>
  <c r="J13" i="1" s="1"/>
  <c r="F3" i="1"/>
  <c r="J3" i="1" s="1"/>
  <c r="F15" i="1"/>
  <c r="J15" i="1" s="1"/>
  <c r="F9" i="1"/>
  <c r="J9" i="1" s="1"/>
  <c r="F5" i="1"/>
  <c r="J5" i="1" s="1"/>
  <c r="I20" i="1"/>
  <c r="M20" i="1" s="1"/>
  <c r="I16" i="1"/>
  <c r="M16" i="1" s="1"/>
  <c r="I14" i="1"/>
  <c r="M14" i="1" s="1"/>
  <c r="I12" i="1"/>
  <c r="M12" i="1" s="1"/>
  <c r="I10" i="1"/>
  <c r="M10" i="1" s="1"/>
  <c r="I8" i="1"/>
  <c r="M8" i="1" s="1"/>
  <c r="I6" i="1"/>
  <c r="M6" i="1" s="1"/>
  <c r="I4" i="1"/>
  <c r="M4" i="1" s="1"/>
  <c r="F11" i="1"/>
  <c r="J11" i="1" s="1"/>
  <c r="F7" i="1"/>
  <c r="J7" i="1" s="1"/>
  <c r="I22" i="1"/>
  <c r="M22" i="1" s="1"/>
  <c r="I18" i="1"/>
  <c r="M18" i="1" s="1"/>
  <c r="H22" i="1"/>
  <c r="L22" i="1" s="1"/>
  <c r="H20" i="1"/>
  <c r="L20" i="1" s="1"/>
  <c r="H18" i="1"/>
  <c r="L18" i="1" s="1"/>
  <c r="H16" i="1"/>
  <c r="L16" i="1" s="1"/>
  <c r="H14" i="1"/>
  <c r="L14" i="1" s="1"/>
  <c r="H12" i="1"/>
  <c r="L12" i="1" s="1"/>
  <c r="H10" i="1"/>
  <c r="L10" i="1" s="1"/>
  <c r="H8" i="1"/>
  <c r="L8" i="1" s="1"/>
  <c r="H6" i="1"/>
  <c r="L6" i="1" s="1"/>
  <c r="H4" i="1"/>
  <c r="L4" i="1" s="1"/>
  <c r="G22" i="1"/>
  <c r="K22" i="1" s="1"/>
  <c r="G20" i="1"/>
  <c r="K20" i="1" s="1"/>
  <c r="G18" i="1"/>
  <c r="K18" i="1" s="1"/>
  <c r="G16" i="1"/>
  <c r="K16" i="1" s="1"/>
  <c r="G14" i="1"/>
  <c r="K14" i="1" s="1"/>
  <c r="G12" i="1"/>
  <c r="K12" i="1" s="1"/>
  <c r="G10" i="1"/>
  <c r="K10" i="1" s="1"/>
  <c r="G8" i="1"/>
  <c r="K8" i="1" s="1"/>
  <c r="G6" i="1"/>
  <c r="K6" i="1" s="1"/>
  <c r="G4" i="1"/>
  <c r="K4" i="1" s="1"/>
  <c r="F22" i="1"/>
  <c r="J22" i="1" s="1"/>
  <c r="F20" i="1"/>
  <c r="J20" i="1" s="1"/>
  <c r="F18" i="1"/>
  <c r="J18" i="1" s="1"/>
  <c r="F16" i="1"/>
  <c r="J16" i="1" s="1"/>
  <c r="F14" i="1"/>
  <c r="J14" i="1" s="1"/>
  <c r="F12" i="1"/>
  <c r="J12" i="1" s="1"/>
  <c r="F10" i="1"/>
  <c r="J10" i="1" s="1"/>
  <c r="F8" i="1"/>
  <c r="J8" i="1" s="1"/>
  <c r="F6" i="1"/>
  <c r="J6" i="1" s="1"/>
  <c r="F4" i="1"/>
  <c r="H21" i="1"/>
  <c r="L21" i="1" s="1"/>
  <c r="H17" i="1"/>
  <c r="L17" i="1" s="1"/>
  <c r="H13" i="1"/>
  <c r="L13" i="1" s="1"/>
  <c r="H11" i="1"/>
  <c r="L11" i="1" s="1"/>
  <c r="H9" i="1"/>
  <c r="L9" i="1" s="1"/>
  <c r="H7" i="1"/>
  <c r="L7" i="1" s="1"/>
  <c r="H5" i="1"/>
  <c r="L5" i="1" s="1"/>
  <c r="I21" i="1"/>
  <c r="M21" i="1" s="1"/>
  <c r="I19" i="1"/>
  <c r="M19" i="1" s="1"/>
  <c r="I17" i="1"/>
  <c r="M17" i="1" s="1"/>
  <c r="I15" i="1"/>
  <c r="M15" i="1" s="1"/>
  <c r="I13" i="1"/>
  <c r="M13" i="1" s="1"/>
  <c r="I11" i="1"/>
  <c r="M11" i="1" s="1"/>
  <c r="I9" i="1"/>
  <c r="M9" i="1" s="1"/>
  <c r="I7" i="1"/>
  <c r="M7" i="1" s="1"/>
  <c r="I5" i="1"/>
  <c r="M5" i="1" s="1"/>
  <c r="I3" i="1"/>
  <c r="M3" i="1" s="1"/>
  <c r="H19" i="1"/>
  <c r="L19" i="1" s="1"/>
  <c r="H15" i="1"/>
  <c r="L15" i="1" s="1"/>
  <c r="H3" i="1"/>
  <c r="L3" i="1" s="1"/>
  <c r="G21" i="1"/>
  <c r="K21" i="1" s="1"/>
  <c r="G19" i="1"/>
  <c r="K19" i="1" s="1"/>
  <c r="G17" i="1"/>
  <c r="K17" i="1" s="1"/>
  <c r="G15" i="1"/>
  <c r="K15" i="1" s="1"/>
  <c r="G13" i="1"/>
  <c r="K13" i="1" s="1"/>
  <c r="G11" i="1"/>
  <c r="K11" i="1" s="1"/>
  <c r="G9" i="1"/>
  <c r="K9" i="1" s="1"/>
  <c r="G7" i="1"/>
  <c r="K7" i="1" s="1"/>
  <c r="G5" i="1"/>
  <c r="K5" i="1" s="1"/>
  <c r="J4" i="1" l="1"/>
  <c r="N3" i="1" s="1"/>
  <c r="P4" i="1"/>
</calcChain>
</file>

<file path=xl/sharedStrings.xml><?xml version="1.0" encoding="utf-8"?>
<sst xmlns="http://schemas.openxmlformats.org/spreadsheetml/2006/main" count="36" uniqueCount="36">
  <si>
    <t>two-way table/original data</t>
  </si>
  <si>
    <t>P-Value=</t>
  </si>
  <si>
    <t>outcome-1</t>
  </si>
  <si>
    <t>outcome-2</t>
  </si>
  <si>
    <t>outcome-3</t>
  </si>
  <si>
    <t>outcome-4</t>
  </si>
  <si>
    <t>outcome-5</t>
  </si>
  <si>
    <t>outcome-6</t>
  </si>
  <si>
    <t>outcome-7</t>
  </si>
  <si>
    <t>outcome-8</t>
  </si>
  <si>
    <t>outcome-9</t>
  </si>
  <si>
    <t>outcome-10</t>
  </si>
  <si>
    <t>outcome-11</t>
  </si>
  <si>
    <t>outcome-12</t>
  </si>
  <si>
    <t>outcome-13</t>
  </si>
  <si>
    <t>outcome-14</t>
  </si>
  <si>
    <t>outcome-15</t>
  </si>
  <si>
    <t>outcome-16</t>
  </si>
  <si>
    <t>outcome-17</t>
  </si>
  <si>
    <t>outcome-18</t>
  </si>
  <si>
    <t>outcome-19</t>
  </si>
  <si>
    <t>outcome-20</t>
  </si>
  <si>
    <t>Expected counts</t>
  </si>
  <si>
    <r>
      <t>B- x</t>
    </r>
    <r>
      <rPr>
        <vertAlign val="superscript"/>
        <sz val="11"/>
        <color theme="1"/>
        <rFont val="Calibri"/>
        <family val="2"/>
        <scheme val="minor"/>
      </rPr>
      <t xml:space="preserve">2 </t>
    </r>
  </si>
  <si>
    <r>
      <t>C-x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</si>
  <si>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D-X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</si>
  <si>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E-x</t>
    </r>
    <r>
      <rPr>
        <vertAlign val="superscript"/>
        <sz val="11"/>
        <color theme="1"/>
        <rFont val="Calibri"/>
        <family val="2"/>
        <scheme val="minor"/>
      </rPr>
      <t>2</t>
    </r>
  </si>
  <si>
    <t>Domain 1</t>
  </si>
  <si>
    <t>Domain 2</t>
  </si>
  <si>
    <t>Domain 3</t>
  </si>
  <si>
    <t>Domain 4</t>
  </si>
  <si>
    <t>Rows=</t>
  </si>
  <si>
    <t>columns=</t>
  </si>
  <si>
    <r>
      <t>Total X</t>
    </r>
    <r>
      <rPr>
        <vertAlign val="superscript"/>
        <sz val="11"/>
        <color theme="1"/>
        <rFont val="Calibri"/>
        <family val="2"/>
        <scheme val="minor"/>
      </rPr>
      <t>2</t>
    </r>
  </si>
  <si>
    <t>ERROR=</t>
  </si>
  <si>
    <t>Chi-Square statistic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</si>
</sst>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0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7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Protection="1"/>
    <xf numFmtId="0" fontId="0" fillId="0" borderId="0" xfId="0" applyProtection="1"/>
    <xf numFmtId="0" fontId="0" fillId="0" borderId="0" xfId="0" applyAlignment="1" applyProtection="1"/>
    <xf numFmtId="0" fontId="3" fillId="0" borderId="1" xfId="0" applyFont="1" applyBorder="1" applyAlignment="1" applyProtection="1"/>
    <xf numFmtId="164" fontId="1" fillId="0" borderId="0" xfId="0" applyNumberFormat="1" applyFont="1" applyFill="1" applyProtection="1"/>
    <xf numFmtId="0" fontId="0" fillId="0" borderId="0" xfId="0" applyAlignment="1" applyProtection="1">
      <alignment horizontal="center"/>
    </xf>
    <xf numFmtId="0" fontId="5" fillId="6" borderId="1" xfId="0" applyFont="1" applyFill="1" applyBorder="1" applyProtection="1"/>
    <xf numFmtId="0" fontId="0" fillId="5" borderId="1" xfId="0" applyFill="1" applyBorder="1" applyProtection="1"/>
    <xf numFmtId="0" fontId="0" fillId="5" borderId="1" xfId="0" applyFill="1" applyBorder="1" applyAlignment="1" applyProtection="1">
      <alignment horizontal="center"/>
    </xf>
    <xf numFmtId="0" fontId="0" fillId="2" borderId="0" xfId="0" applyFill="1" applyAlignment="1" applyProtection="1">
      <alignment horizontal="center"/>
    </xf>
    <xf numFmtId="0" fontId="0" fillId="4" borderId="0" xfId="0" applyFill="1" applyAlignment="1" applyProtection="1"/>
    <xf numFmtId="0" fontId="0" fillId="0" borderId="0" xfId="0" applyFill="1" applyAlignment="1" applyProtection="1"/>
    <xf numFmtId="0" fontId="0" fillId="0" borderId="0" xfId="0" applyFont="1" applyFill="1" applyAlignment="1" applyProtection="1">
      <alignment horizontal="center"/>
    </xf>
    <xf numFmtId="0" fontId="0" fillId="3" borderId="1" xfId="0" applyFill="1" applyBorder="1" applyAlignment="1" applyProtection="1">
      <alignment horizontal="center"/>
      <protection locked="0"/>
    </xf>
    <xf numFmtId="0" fontId="0" fillId="3" borderId="1" xfId="0" applyFill="1" applyBorder="1" applyProtection="1">
      <protection locked="0"/>
    </xf>
    <xf numFmtId="0" fontId="0" fillId="3" borderId="1" xfId="0" applyFill="1" applyBorder="1"/>
    <xf numFmtId="0" fontId="1" fillId="0" borderId="0" xfId="0" applyFont="1" applyAlignment="1" applyProtection="1"/>
    <xf numFmtId="0" fontId="6" fillId="0" borderId="2" xfId="0" applyFont="1" applyBorder="1" applyAlignment="1" applyProtection="1">
      <alignment horizontal="center"/>
    </xf>
    <xf numFmtId="0" fontId="6" fillId="0" borderId="3" xfId="0" applyFont="1" applyBorder="1" applyAlignment="1" applyProtection="1">
      <alignment horizontal="center"/>
    </xf>
    <xf numFmtId="0" fontId="5" fillId="6" borderId="2" xfId="0" applyFont="1" applyFill="1" applyBorder="1" applyAlignment="1" applyProtection="1">
      <alignment horizontal="center"/>
    </xf>
    <xf numFmtId="0" fontId="5" fillId="6" borderId="3" xfId="0" applyFont="1" applyFill="1" applyBorder="1" applyAlignment="1" applyProtection="1">
      <alignment horizontal="center"/>
    </xf>
    <xf numFmtId="0" fontId="5" fillId="6" borderId="4" xfId="0" applyFont="1" applyFill="1" applyBorder="1" applyAlignment="1" applyProtection="1">
      <alignment horizontal="center"/>
    </xf>
    <xf numFmtId="0" fontId="2" fillId="3" borderId="2" xfId="0" applyFont="1" applyFill="1" applyBorder="1" applyAlignment="1" applyProtection="1">
      <alignment horizontal="center"/>
    </xf>
    <xf numFmtId="0" fontId="2" fillId="3" borderId="3" xfId="0" applyFont="1" applyFill="1" applyBorder="1" applyAlignment="1" applyProtection="1">
      <alignment horizontal="center"/>
    </xf>
    <xf numFmtId="0" fontId="2" fillId="3" borderId="4" xfId="0" applyFont="1" applyFill="1" applyBorder="1" applyAlignment="1" applyProtection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tabSelected="1" workbookViewId="0">
      <selection activeCell="C10" sqref="C10"/>
    </sheetView>
  </sheetViews>
  <sheetFormatPr defaultRowHeight="15" x14ac:dyDescent="0.25"/>
  <cols>
    <col min="1" max="1" width="11.5703125" style="6" bestFit="1" customWidth="1"/>
    <col min="2" max="15" width="9.140625" style="2"/>
    <col min="16" max="16" width="12" style="2" bestFit="1" customWidth="1"/>
    <col min="17" max="17" width="9.5703125" style="2" bestFit="1" customWidth="1"/>
    <col min="18" max="16384" width="9.140625" style="2"/>
  </cols>
  <sheetData>
    <row r="1" spans="1:22" ht="15.75" x14ac:dyDescent="0.25">
      <c r="A1" s="23" t="s">
        <v>0</v>
      </c>
      <c r="B1" s="24"/>
      <c r="C1" s="24"/>
      <c r="D1" s="24"/>
      <c r="E1" s="25"/>
      <c r="F1" s="1"/>
      <c r="G1" s="4"/>
      <c r="H1" s="4"/>
      <c r="I1" s="4"/>
      <c r="J1" s="18" t="s">
        <v>35</v>
      </c>
      <c r="K1" s="19"/>
      <c r="L1" s="19"/>
      <c r="M1" s="19"/>
      <c r="N1" s="19"/>
      <c r="O1" s="6" t="s">
        <v>34</v>
      </c>
      <c r="P1" s="17" t="str">
        <f>IF(COUNTIF(B3:E22, "&lt;0") &gt; 0, "Negative number is not allowed", "")</f>
        <v/>
      </c>
      <c r="Q1" s="3"/>
      <c r="R1" s="3"/>
      <c r="S1" s="3"/>
      <c r="T1" s="3"/>
      <c r="U1" s="3"/>
    </row>
    <row r="2" spans="1:22" ht="17.25" x14ac:dyDescent="0.25">
      <c r="A2" s="14"/>
      <c r="B2" s="15" t="s">
        <v>27</v>
      </c>
      <c r="C2" s="15" t="s">
        <v>28</v>
      </c>
      <c r="D2" s="15" t="s">
        <v>29</v>
      </c>
      <c r="E2" s="15" t="s">
        <v>30</v>
      </c>
      <c r="F2" s="20" t="s">
        <v>22</v>
      </c>
      <c r="G2" s="21"/>
      <c r="H2" s="21"/>
      <c r="I2" s="22"/>
      <c r="J2" s="9" t="s">
        <v>23</v>
      </c>
      <c r="K2" s="9" t="s">
        <v>24</v>
      </c>
      <c r="L2" s="9" t="s">
        <v>25</v>
      </c>
      <c r="M2" s="9" t="s">
        <v>26</v>
      </c>
      <c r="N2" s="9" t="s">
        <v>33</v>
      </c>
      <c r="O2" s="6" t="s">
        <v>31</v>
      </c>
      <c r="P2" s="13">
        <f>COUNT(B3:B22)</f>
        <v>5</v>
      </c>
      <c r="Q2" s="5"/>
      <c r="R2" s="3"/>
      <c r="S2" s="3"/>
      <c r="T2" s="3"/>
      <c r="U2" s="3"/>
      <c r="V2" s="3"/>
    </row>
    <row r="3" spans="1:22" x14ac:dyDescent="0.25">
      <c r="A3" s="14" t="s">
        <v>2</v>
      </c>
      <c r="B3" s="16">
        <v>85</v>
      </c>
      <c r="C3" s="16">
        <v>441</v>
      </c>
      <c r="D3" s="15"/>
      <c r="E3" s="15"/>
      <c r="F3" s="7">
        <f t="shared" ref="F3:F22" si="0">IF(OR(ISERROR(SUM(B$3:B$22)*SUM($B3:$E3)/S), SUM($B3:$E3)=0, ISBLANK(B3)), "", SUM(B$3:B$22)*SUM($B3:$E3)/S)</f>
        <v>76.297790585975022</v>
      </c>
      <c r="G3" s="7">
        <f t="shared" ref="G3:G22" si="1">IF(OR(ISERROR(SUM(C$3:C$22)*SUM($B3:$E3)/S), SUM($B3:$E3)=0, ISBLANK(C3)), "", SUM(C$3:C$22)*SUM($B3:$E3)/S)</f>
        <v>449.70220941402499</v>
      </c>
      <c r="H3" s="7" t="str">
        <f t="shared" ref="H3:H22" si="2">IF(OR(ISERROR(SUM(D$3:D$22)*SUM($B3:$E3)/S), SUM($B3:$E3)=0, ISBLANK(D3)), "", SUM(D$3:D$22)*SUM($B3:$E3)/S)</f>
        <v/>
      </c>
      <c r="I3" s="7" t="str">
        <f t="shared" ref="I3:I22" si="3">IF(OR(ISERROR(SUM(E$3:E$22)*SUM($B3:$E3)/S), SUM($B3:$E3)=0, ISBLANK(E3)), "", SUM(E$3:E$22)*SUM($B3:$E3)/S)</f>
        <v/>
      </c>
      <c r="J3" s="8">
        <f>IFERROR((B3-F3)^2/F3, "")</f>
        <v>0.99253789793836145</v>
      </c>
      <c r="K3" s="8">
        <f t="shared" ref="K3:M3" si="4">IFERROR((C3-G3)^2/G3, "")</f>
        <v>0.16839687931313824</v>
      </c>
      <c r="L3" s="8" t="str">
        <f t="shared" si="4"/>
        <v/>
      </c>
      <c r="M3" s="8" t="str">
        <f t="shared" si="4"/>
        <v/>
      </c>
      <c r="N3" s="8">
        <f>SUM(J3:M22)</f>
        <v>16.778974611396201</v>
      </c>
      <c r="O3" s="6" t="s">
        <v>32</v>
      </c>
      <c r="P3" s="6">
        <f>COUNT(B3:E3)</f>
        <v>2</v>
      </c>
    </row>
    <row r="4" spans="1:22" x14ac:dyDescent="0.25">
      <c r="A4" s="14" t="s">
        <v>3</v>
      </c>
      <c r="B4" s="16">
        <v>81</v>
      </c>
      <c r="C4" s="16">
        <v>398</v>
      </c>
      <c r="D4" s="15"/>
      <c r="E4" s="15"/>
      <c r="F4" s="7">
        <f t="shared" si="0"/>
        <v>69.480307396733906</v>
      </c>
      <c r="G4" s="7">
        <f t="shared" si="1"/>
        <v>409.51969260326609</v>
      </c>
      <c r="H4" s="7" t="str">
        <f t="shared" si="2"/>
        <v/>
      </c>
      <c r="I4" s="7" t="str">
        <f t="shared" si="3"/>
        <v/>
      </c>
      <c r="J4" s="8">
        <f t="shared" ref="J4:J22" si="5">IFERROR((B4-F4)^2/F4, "")</f>
        <v>1.9099414301091824</v>
      </c>
      <c r="K4" s="8">
        <f t="shared" ref="K4:K22" si="6">IFERROR((C4-G4)^2/G4, "")</f>
        <v>0.32404624263650172</v>
      </c>
      <c r="L4" s="8" t="str">
        <f t="shared" ref="L4:L22" si="7">IFERROR((D4-H4)^2/H4, "")</f>
        <v/>
      </c>
      <c r="M4" s="8" t="str">
        <f t="shared" ref="M4:M22" si="8">IFERROR((E4-I4)^2/I4, "")</f>
        <v/>
      </c>
      <c r="N4" s="8"/>
      <c r="O4" s="10" t="s">
        <v>1</v>
      </c>
      <c r="P4" s="11">
        <f ca="1">IFERROR(_xlfn.CHISQ.TEST(B3:INDIRECT(ADDRESS(P2+2,P3+1)), F3:INDIRECT(ADDRESS(P2+2, P3+5))), "")</f>
        <v>2.1337023535848865E-3</v>
      </c>
      <c r="Q4" s="12"/>
    </row>
    <row r="5" spans="1:22" x14ac:dyDescent="0.25">
      <c r="A5" s="14" t="s">
        <v>4</v>
      </c>
      <c r="B5" s="16">
        <v>69</v>
      </c>
      <c r="C5" s="16">
        <v>579</v>
      </c>
      <c r="D5" s="15"/>
      <c r="E5" s="15"/>
      <c r="F5" s="7">
        <f t="shared" si="0"/>
        <v>93.994236311239192</v>
      </c>
      <c r="G5" s="7">
        <f t="shared" si="1"/>
        <v>554.00576368876079</v>
      </c>
      <c r="H5" s="7" t="str">
        <f t="shared" si="2"/>
        <v/>
      </c>
      <c r="I5" s="7" t="str">
        <f t="shared" si="3"/>
        <v/>
      </c>
      <c r="J5" s="8">
        <f t="shared" si="5"/>
        <v>6.6462782538440486</v>
      </c>
      <c r="K5" s="8">
        <f t="shared" si="6"/>
        <v>1.1276269846409579</v>
      </c>
      <c r="L5" s="8" t="str">
        <f t="shared" si="7"/>
        <v/>
      </c>
      <c r="M5" s="8" t="str">
        <f t="shared" si="8"/>
        <v/>
      </c>
      <c r="N5" s="8"/>
    </row>
    <row r="6" spans="1:22" x14ac:dyDescent="0.25">
      <c r="A6" s="14" t="s">
        <v>5</v>
      </c>
      <c r="B6" s="16">
        <v>46</v>
      </c>
      <c r="C6" s="16">
        <v>292</v>
      </c>
      <c r="D6" s="15"/>
      <c r="E6" s="15"/>
      <c r="F6" s="7">
        <f t="shared" si="0"/>
        <v>49.027857829010564</v>
      </c>
      <c r="G6" s="7">
        <f t="shared" si="1"/>
        <v>288.97214217098946</v>
      </c>
      <c r="H6" s="7" t="str">
        <f t="shared" si="2"/>
        <v/>
      </c>
      <c r="I6" s="7" t="str">
        <f t="shared" si="3"/>
        <v/>
      </c>
      <c r="J6" s="8">
        <f t="shared" si="5"/>
        <v>0.18699415880405368</v>
      </c>
      <c r="K6" s="8">
        <f t="shared" si="6"/>
        <v>3.1725975257765958E-2</v>
      </c>
      <c r="L6" s="8" t="str">
        <f t="shared" si="7"/>
        <v/>
      </c>
      <c r="M6" s="8" t="str">
        <f t="shared" si="8"/>
        <v/>
      </c>
      <c r="N6" s="8"/>
    </row>
    <row r="7" spans="1:22" x14ac:dyDescent="0.25">
      <c r="A7" s="14" t="s">
        <v>6</v>
      </c>
      <c r="B7" s="16">
        <v>21</v>
      </c>
      <c r="C7" s="16">
        <v>70</v>
      </c>
      <c r="D7" s="15"/>
      <c r="E7" s="15"/>
      <c r="F7" s="7">
        <f t="shared" si="0"/>
        <v>13.199807877041307</v>
      </c>
      <c r="G7" s="7">
        <f t="shared" si="1"/>
        <v>77.800192122958691</v>
      </c>
      <c r="H7" s="7" t="str">
        <f t="shared" si="2"/>
        <v/>
      </c>
      <c r="I7" s="7" t="str">
        <f t="shared" si="3"/>
        <v/>
      </c>
      <c r="J7" s="8">
        <f t="shared" si="5"/>
        <v>4.6093850548304038</v>
      </c>
      <c r="K7" s="8">
        <f t="shared" si="6"/>
        <v>0.78204173402178734</v>
      </c>
      <c r="L7" s="8" t="str">
        <f t="shared" si="7"/>
        <v/>
      </c>
      <c r="M7" s="8" t="str">
        <f t="shared" si="8"/>
        <v/>
      </c>
      <c r="N7" s="8"/>
    </row>
    <row r="8" spans="1:22" x14ac:dyDescent="0.25">
      <c r="A8" s="14" t="s">
        <v>7</v>
      </c>
      <c r="B8" s="15"/>
      <c r="C8" s="15"/>
      <c r="D8" s="15"/>
      <c r="E8" s="15"/>
      <c r="F8" s="7" t="str">
        <f t="shared" si="0"/>
        <v/>
      </c>
      <c r="G8" s="7" t="str">
        <f t="shared" si="1"/>
        <v/>
      </c>
      <c r="H8" s="7" t="str">
        <f t="shared" si="2"/>
        <v/>
      </c>
      <c r="I8" s="7" t="str">
        <f t="shared" si="3"/>
        <v/>
      </c>
      <c r="J8" s="8" t="str">
        <f t="shared" si="5"/>
        <v/>
      </c>
      <c r="K8" s="8" t="str">
        <f t="shared" si="6"/>
        <v/>
      </c>
      <c r="L8" s="8" t="str">
        <f t="shared" si="7"/>
        <v/>
      </c>
      <c r="M8" s="8" t="str">
        <f t="shared" si="8"/>
        <v/>
      </c>
      <c r="N8" s="8"/>
    </row>
    <row r="9" spans="1:22" x14ac:dyDescent="0.25">
      <c r="A9" s="14" t="s">
        <v>8</v>
      </c>
      <c r="B9" s="15"/>
      <c r="C9" s="15"/>
      <c r="D9" s="15"/>
      <c r="E9" s="15"/>
      <c r="F9" s="7" t="str">
        <f t="shared" si="0"/>
        <v/>
      </c>
      <c r="G9" s="7" t="str">
        <f t="shared" si="1"/>
        <v/>
      </c>
      <c r="H9" s="7" t="str">
        <f t="shared" si="2"/>
        <v/>
      </c>
      <c r="I9" s="7" t="str">
        <f t="shared" si="3"/>
        <v/>
      </c>
      <c r="J9" s="8" t="str">
        <f t="shared" si="5"/>
        <v/>
      </c>
      <c r="K9" s="8" t="str">
        <f t="shared" si="6"/>
        <v/>
      </c>
      <c r="L9" s="8" t="str">
        <f t="shared" si="7"/>
        <v/>
      </c>
      <c r="M9" s="8" t="str">
        <f t="shared" si="8"/>
        <v/>
      </c>
      <c r="N9" s="8"/>
    </row>
    <row r="10" spans="1:22" x14ac:dyDescent="0.25">
      <c r="A10" s="14" t="s">
        <v>9</v>
      </c>
      <c r="B10" s="15"/>
      <c r="C10" s="15"/>
      <c r="D10" s="15"/>
      <c r="E10" s="15"/>
      <c r="F10" s="7" t="str">
        <f t="shared" si="0"/>
        <v/>
      </c>
      <c r="G10" s="7" t="str">
        <f t="shared" si="1"/>
        <v/>
      </c>
      <c r="H10" s="7" t="str">
        <f t="shared" si="2"/>
        <v/>
      </c>
      <c r="I10" s="7" t="str">
        <f t="shared" si="3"/>
        <v/>
      </c>
      <c r="J10" s="8" t="str">
        <f t="shared" si="5"/>
        <v/>
      </c>
      <c r="K10" s="8" t="str">
        <f t="shared" si="6"/>
        <v/>
      </c>
      <c r="L10" s="8" t="str">
        <f t="shared" si="7"/>
        <v/>
      </c>
      <c r="M10" s="8" t="str">
        <f t="shared" si="8"/>
        <v/>
      </c>
      <c r="N10" s="8"/>
    </row>
    <row r="11" spans="1:22" x14ac:dyDescent="0.25">
      <c r="A11" s="14" t="s">
        <v>10</v>
      </c>
      <c r="B11" s="15"/>
      <c r="C11" s="15"/>
      <c r="D11" s="15"/>
      <c r="E11" s="15"/>
      <c r="F11" s="7" t="str">
        <f t="shared" si="0"/>
        <v/>
      </c>
      <c r="G11" s="7" t="str">
        <f t="shared" si="1"/>
        <v/>
      </c>
      <c r="H11" s="7" t="str">
        <f t="shared" si="2"/>
        <v/>
      </c>
      <c r="I11" s="7" t="str">
        <f t="shared" si="3"/>
        <v/>
      </c>
      <c r="J11" s="8" t="str">
        <f t="shared" si="5"/>
        <v/>
      </c>
      <c r="K11" s="8" t="str">
        <f t="shared" si="6"/>
        <v/>
      </c>
      <c r="L11" s="8" t="str">
        <f t="shared" si="7"/>
        <v/>
      </c>
      <c r="M11" s="8" t="str">
        <f t="shared" si="8"/>
        <v/>
      </c>
      <c r="N11" s="8"/>
    </row>
    <row r="12" spans="1:22" x14ac:dyDescent="0.25">
      <c r="A12" s="14" t="s">
        <v>11</v>
      </c>
      <c r="B12" s="15"/>
      <c r="C12" s="15"/>
      <c r="D12" s="15"/>
      <c r="E12" s="15"/>
      <c r="F12" s="7" t="str">
        <f t="shared" si="0"/>
        <v/>
      </c>
      <c r="G12" s="7" t="str">
        <f t="shared" si="1"/>
        <v/>
      </c>
      <c r="H12" s="7" t="str">
        <f t="shared" si="2"/>
        <v/>
      </c>
      <c r="I12" s="7" t="str">
        <f t="shared" si="3"/>
        <v/>
      </c>
      <c r="J12" s="8" t="str">
        <f t="shared" si="5"/>
        <v/>
      </c>
      <c r="K12" s="8" t="str">
        <f t="shared" si="6"/>
        <v/>
      </c>
      <c r="L12" s="8" t="str">
        <f t="shared" si="7"/>
        <v/>
      </c>
      <c r="M12" s="8" t="str">
        <f t="shared" si="8"/>
        <v/>
      </c>
      <c r="N12" s="8"/>
    </row>
    <row r="13" spans="1:22" x14ac:dyDescent="0.25">
      <c r="A13" s="14" t="s">
        <v>12</v>
      </c>
      <c r="B13" s="15"/>
      <c r="C13" s="15"/>
      <c r="D13" s="15"/>
      <c r="E13" s="15"/>
      <c r="F13" s="7" t="str">
        <f t="shared" si="0"/>
        <v/>
      </c>
      <c r="G13" s="7" t="str">
        <f t="shared" si="1"/>
        <v/>
      </c>
      <c r="H13" s="7" t="str">
        <f t="shared" si="2"/>
        <v/>
      </c>
      <c r="I13" s="7" t="str">
        <f t="shared" si="3"/>
        <v/>
      </c>
      <c r="J13" s="8" t="str">
        <f t="shared" si="5"/>
        <v/>
      </c>
      <c r="K13" s="8" t="str">
        <f t="shared" si="6"/>
        <v/>
      </c>
      <c r="L13" s="8" t="str">
        <f t="shared" si="7"/>
        <v/>
      </c>
      <c r="M13" s="8" t="str">
        <f t="shared" si="8"/>
        <v/>
      </c>
      <c r="N13" s="8"/>
    </row>
    <row r="14" spans="1:22" x14ac:dyDescent="0.25">
      <c r="A14" s="14" t="s">
        <v>13</v>
      </c>
      <c r="B14" s="15"/>
      <c r="C14" s="15"/>
      <c r="D14" s="15"/>
      <c r="E14" s="15"/>
      <c r="F14" s="7" t="str">
        <f t="shared" si="0"/>
        <v/>
      </c>
      <c r="G14" s="7" t="str">
        <f t="shared" si="1"/>
        <v/>
      </c>
      <c r="H14" s="7" t="str">
        <f t="shared" si="2"/>
        <v/>
      </c>
      <c r="I14" s="7" t="str">
        <f t="shared" si="3"/>
        <v/>
      </c>
      <c r="J14" s="8" t="str">
        <f t="shared" si="5"/>
        <v/>
      </c>
      <c r="K14" s="8" t="str">
        <f t="shared" si="6"/>
        <v/>
      </c>
      <c r="L14" s="8" t="str">
        <f t="shared" si="7"/>
        <v/>
      </c>
      <c r="M14" s="8" t="str">
        <f t="shared" si="8"/>
        <v/>
      </c>
      <c r="N14" s="8"/>
    </row>
    <row r="15" spans="1:22" x14ac:dyDescent="0.25">
      <c r="A15" s="14" t="s">
        <v>14</v>
      </c>
      <c r="B15" s="15"/>
      <c r="C15" s="15"/>
      <c r="D15" s="15"/>
      <c r="E15" s="15"/>
      <c r="F15" s="7" t="str">
        <f t="shared" si="0"/>
        <v/>
      </c>
      <c r="G15" s="7" t="str">
        <f t="shared" si="1"/>
        <v/>
      </c>
      <c r="H15" s="7" t="str">
        <f t="shared" si="2"/>
        <v/>
      </c>
      <c r="I15" s="7" t="str">
        <f t="shared" si="3"/>
        <v/>
      </c>
      <c r="J15" s="8" t="str">
        <f t="shared" si="5"/>
        <v/>
      </c>
      <c r="K15" s="8" t="str">
        <f t="shared" si="6"/>
        <v/>
      </c>
      <c r="L15" s="8" t="str">
        <f t="shared" si="7"/>
        <v/>
      </c>
      <c r="M15" s="8" t="str">
        <f t="shared" si="8"/>
        <v/>
      </c>
      <c r="N15" s="8"/>
    </row>
    <row r="16" spans="1:22" x14ac:dyDescent="0.25">
      <c r="A16" s="14" t="s">
        <v>15</v>
      </c>
      <c r="B16" s="15"/>
      <c r="C16" s="15"/>
      <c r="D16" s="15"/>
      <c r="E16" s="15"/>
      <c r="F16" s="7" t="str">
        <f t="shared" si="0"/>
        <v/>
      </c>
      <c r="G16" s="7" t="str">
        <f t="shared" si="1"/>
        <v/>
      </c>
      <c r="H16" s="7" t="str">
        <f t="shared" si="2"/>
        <v/>
      </c>
      <c r="I16" s="7" t="str">
        <f t="shared" si="3"/>
        <v/>
      </c>
      <c r="J16" s="8" t="str">
        <f t="shared" si="5"/>
        <v/>
      </c>
      <c r="K16" s="8" t="str">
        <f t="shared" si="6"/>
        <v/>
      </c>
      <c r="L16" s="8" t="str">
        <f t="shared" si="7"/>
        <v/>
      </c>
      <c r="M16" s="8" t="str">
        <f t="shared" si="8"/>
        <v/>
      </c>
      <c r="N16" s="8"/>
    </row>
    <row r="17" spans="1:14" x14ac:dyDescent="0.25">
      <c r="A17" s="14" t="s">
        <v>16</v>
      </c>
      <c r="B17" s="15"/>
      <c r="C17" s="15"/>
      <c r="D17" s="15"/>
      <c r="E17" s="15"/>
      <c r="F17" s="7" t="str">
        <f t="shared" si="0"/>
        <v/>
      </c>
      <c r="G17" s="7" t="str">
        <f t="shared" si="1"/>
        <v/>
      </c>
      <c r="H17" s="7" t="str">
        <f t="shared" si="2"/>
        <v/>
      </c>
      <c r="I17" s="7" t="str">
        <f t="shared" si="3"/>
        <v/>
      </c>
      <c r="J17" s="8" t="str">
        <f t="shared" si="5"/>
        <v/>
      </c>
      <c r="K17" s="8" t="str">
        <f t="shared" si="6"/>
        <v/>
      </c>
      <c r="L17" s="8" t="str">
        <f t="shared" si="7"/>
        <v/>
      </c>
      <c r="M17" s="8" t="str">
        <f t="shared" si="8"/>
        <v/>
      </c>
      <c r="N17" s="8"/>
    </row>
    <row r="18" spans="1:14" x14ac:dyDescent="0.25">
      <c r="A18" s="14" t="s">
        <v>17</v>
      </c>
      <c r="B18" s="15"/>
      <c r="C18" s="15"/>
      <c r="D18" s="15"/>
      <c r="E18" s="15"/>
      <c r="F18" s="7" t="str">
        <f t="shared" si="0"/>
        <v/>
      </c>
      <c r="G18" s="7" t="str">
        <f t="shared" si="1"/>
        <v/>
      </c>
      <c r="H18" s="7" t="str">
        <f t="shared" si="2"/>
        <v/>
      </c>
      <c r="I18" s="7" t="str">
        <f t="shared" si="3"/>
        <v/>
      </c>
      <c r="J18" s="8" t="str">
        <f t="shared" si="5"/>
        <v/>
      </c>
      <c r="K18" s="8" t="str">
        <f t="shared" si="6"/>
        <v/>
      </c>
      <c r="L18" s="8" t="str">
        <f t="shared" si="7"/>
        <v/>
      </c>
      <c r="M18" s="8" t="str">
        <f t="shared" si="8"/>
        <v/>
      </c>
      <c r="N18" s="8"/>
    </row>
    <row r="19" spans="1:14" x14ac:dyDescent="0.25">
      <c r="A19" s="14" t="s">
        <v>18</v>
      </c>
      <c r="B19" s="15"/>
      <c r="C19" s="15"/>
      <c r="D19" s="15"/>
      <c r="E19" s="15"/>
      <c r="F19" s="7" t="str">
        <f t="shared" si="0"/>
        <v/>
      </c>
      <c r="G19" s="7" t="str">
        <f t="shared" si="1"/>
        <v/>
      </c>
      <c r="H19" s="7" t="str">
        <f t="shared" si="2"/>
        <v/>
      </c>
      <c r="I19" s="7" t="str">
        <f t="shared" si="3"/>
        <v/>
      </c>
      <c r="J19" s="8" t="str">
        <f t="shared" si="5"/>
        <v/>
      </c>
      <c r="K19" s="8" t="str">
        <f t="shared" si="6"/>
        <v/>
      </c>
      <c r="L19" s="8" t="str">
        <f t="shared" si="7"/>
        <v/>
      </c>
      <c r="M19" s="8" t="str">
        <f t="shared" si="8"/>
        <v/>
      </c>
      <c r="N19" s="8"/>
    </row>
    <row r="20" spans="1:14" x14ac:dyDescent="0.25">
      <c r="A20" s="14" t="s">
        <v>19</v>
      </c>
      <c r="B20" s="15"/>
      <c r="C20" s="15"/>
      <c r="D20" s="15"/>
      <c r="E20" s="15"/>
      <c r="F20" s="7" t="str">
        <f t="shared" si="0"/>
        <v/>
      </c>
      <c r="G20" s="7" t="str">
        <f t="shared" si="1"/>
        <v/>
      </c>
      <c r="H20" s="7" t="str">
        <f t="shared" si="2"/>
        <v/>
      </c>
      <c r="I20" s="7" t="str">
        <f t="shared" si="3"/>
        <v/>
      </c>
      <c r="J20" s="8" t="str">
        <f t="shared" si="5"/>
        <v/>
      </c>
      <c r="K20" s="8" t="str">
        <f t="shared" si="6"/>
        <v/>
      </c>
      <c r="L20" s="8" t="str">
        <f t="shared" si="7"/>
        <v/>
      </c>
      <c r="M20" s="8" t="str">
        <f t="shared" si="8"/>
        <v/>
      </c>
      <c r="N20" s="8"/>
    </row>
    <row r="21" spans="1:14" x14ac:dyDescent="0.25">
      <c r="A21" s="14" t="s">
        <v>20</v>
      </c>
      <c r="B21" s="15"/>
      <c r="C21" s="15"/>
      <c r="D21" s="15"/>
      <c r="E21" s="15"/>
      <c r="F21" s="7" t="str">
        <f t="shared" si="0"/>
        <v/>
      </c>
      <c r="G21" s="7" t="str">
        <f t="shared" si="1"/>
        <v/>
      </c>
      <c r="H21" s="7" t="str">
        <f t="shared" si="2"/>
        <v/>
      </c>
      <c r="I21" s="7" t="str">
        <f t="shared" si="3"/>
        <v/>
      </c>
      <c r="J21" s="8" t="str">
        <f t="shared" si="5"/>
        <v/>
      </c>
      <c r="K21" s="8" t="str">
        <f t="shared" si="6"/>
        <v/>
      </c>
      <c r="L21" s="8" t="str">
        <f t="shared" si="7"/>
        <v/>
      </c>
      <c r="M21" s="8" t="str">
        <f t="shared" si="8"/>
        <v/>
      </c>
      <c r="N21" s="8"/>
    </row>
    <row r="22" spans="1:14" x14ac:dyDescent="0.25">
      <c r="A22" s="14" t="s">
        <v>21</v>
      </c>
      <c r="B22" s="15"/>
      <c r="C22" s="15"/>
      <c r="D22" s="15"/>
      <c r="E22" s="15"/>
      <c r="F22" s="7" t="str">
        <f t="shared" si="0"/>
        <v/>
      </c>
      <c r="G22" s="7" t="str">
        <f t="shared" si="1"/>
        <v/>
      </c>
      <c r="H22" s="7" t="str">
        <f t="shared" si="2"/>
        <v/>
      </c>
      <c r="I22" s="7" t="str">
        <f t="shared" si="3"/>
        <v/>
      </c>
      <c r="J22" s="8" t="str">
        <f t="shared" si="5"/>
        <v/>
      </c>
      <c r="K22" s="8" t="str">
        <f t="shared" si="6"/>
        <v/>
      </c>
      <c r="L22" s="8" t="str">
        <f t="shared" si="7"/>
        <v/>
      </c>
      <c r="M22" s="8" t="str">
        <f t="shared" si="8"/>
        <v/>
      </c>
      <c r="N22" s="8"/>
    </row>
  </sheetData>
  <sheetProtection algorithmName="SHA-512" hashValue="ne51cF35Iws+yO28/LPZn9YgMsgZ5J7K4v8PJQshuAaZyuR6vJU/2Tp62iU0ScXklTiKuE54pUpjm2b2mlnjaw==" saltValue="o8Q+NhWb0PS6HI5J75+hkA==" spinCount="100000" sheet="1" objects="1" scenarios="1"/>
  <dataConsolidate/>
  <mergeCells count="3">
    <mergeCell ref="J1:N1"/>
    <mergeCell ref="F2:I2"/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Chi-Square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2021-09-14T23:06:31Z</dcterms:modified>
</cp:coreProperties>
</file>