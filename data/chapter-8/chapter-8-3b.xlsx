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ong\booksWriting\MasterExcelThroughProjects\Apress\"/>
    </mc:Choice>
  </mc:AlternateContent>
  <bookViews>
    <workbookView xWindow="-120" yWindow="-120" windowWidth="20730" windowHeight="11160"/>
  </bookViews>
  <sheets>
    <sheet name="k1" sheetId="2" r:id="rId1"/>
    <sheet name="k2" sheetId="3" r:id="rId2"/>
  </sheets>
  <definedNames>
    <definedName name="AA" localSheetId="1">'k2'!$A$2:$H$156</definedName>
    <definedName name="AA">'k1'!$A$2:$H$156</definedName>
  </definedNames>
  <calcPr calcId="162913" iterate="1" iterateDelta="0"/>
</workbook>
</file>

<file path=xl/calcChain.xml><?xml version="1.0" encoding="utf-8"?>
<calcChain xmlns="http://schemas.openxmlformats.org/spreadsheetml/2006/main">
  <c r="K8" i="3" l="1"/>
  <c r="K7" i="3"/>
  <c r="K6" i="3"/>
  <c r="K5" i="3"/>
  <c r="K4" i="3"/>
  <c r="K3" i="3"/>
  <c r="K2" i="3"/>
  <c r="K8" i="2" l="1"/>
  <c r="K7" i="2"/>
  <c r="K6" i="2"/>
  <c r="K5" i="2"/>
  <c r="K4" i="2"/>
  <c r="K3" i="2"/>
  <c r="K2" i="2"/>
  <c r="L2" i="2"/>
  <c r="M2" i="2"/>
  <c r="N2" i="2"/>
  <c r="O2" i="2"/>
  <c r="R2" i="2"/>
  <c r="S2" i="2"/>
  <c r="T2" i="2"/>
  <c r="U2" i="2"/>
  <c r="V2" i="2"/>
  <c r="L3" i="2"/>
  <c r="M3" i="2"/>
  <c r="N3" i="2"/>
  <c r="O3" i="2"/>
  <c r="R3" i="2"/>
  <c r="S3" i="2"/>
  <c r="T3" i="2"/>
  <c r="U3" i="2"/>
  <c r="V3" i="2"/>
  <c r="L4" i="2"/>
  <c r="M4" i="2"/>
  <c r="N4" i="2"/>
  <c r="O4" i="2"/>
  <c r="R4" i="2"/>
  <c r="S4" i="2"/>
  <c r="T4" i="2"/>
  <c r="U4" i="2"/>
  <c r="V4" i="2"/>
  <c r="L5" i="2"/>
  <c r="M5" i="2"/>
  <c r="N5" i="2"/>
  <c r="O5" i="2"/>
  <c r="R5" i="2"/>
  <c r="S5" i="2"/>
  <c r="T5" i="2"/>
  <c r="U5" i="2"/>
  <c r="V5" i="2"/>
  <c r="L6" i="2"/>
  <c r="M6" i="2"/>
  <c r="N6" i="2"/>
  <c r="O6" i="2"/>
  <c r="R6" i="2"/>
  <c r="S6" i="2"/>
  <c r="T6" i="2"/>
  <c r="U6" i="2"/>
  <c r="V6" i="2"/>
  <c r="L7" i="2"/>
  <c r="M7" i="2"/>
  <c r="N7" i="2"/>
  <c r="O7" i="2"/>
  <c r="R7" i="2"/>
  <c r="S7" i="2"/>
  <c r="T7" i="2"/>
  <c r="U7" i="2"/>
  <c r="V7" i="2"/>
  <c r="L8" i="2"/>
  <c r="M8" i="2"/>
  <c r="N8" i="2"/>
  <c r="O8" i="2"/>
  <c r="R8" i="2"/>
  <c r="S8" i="2"/>
  <c r="T8" i="2"/>
  <c r="U8" i="2"/>
  <c r="V8" i="2"/>
  <c r="R9" i="2"/>
  <c r="S9" i="2"/>
  <c r="T9" i="2"/>
  <c r="U9" i="2"/>
  <c r="V9" i="2"/>
  <c r="R10" i="2"/>
  <c r="S10" i="2"/>
  <c r="T10" i="2"/>
  <c r="U10" i="2"/>
  <c r="V10" i="2"/>
  <c r="R11" i="2"/>
  <c r="S11" i="2"/>
  <c r="T11" i="2"/>
  <c r="U11" i="2"/>
  <c r="V11" i="2"/>
  <c r="R12" i="2"/>
  <c r="S12" i="2"/>
  <c r="T12" i="2"/>
  <c r="U12" i="2"/>
  <c r="V12" i="2"/>
  <c r="R13" i="2"/>
  <c r="S13" i="2"/>
  <c r="T13" i="2"/>
  <c r="U13" i="2"/>
  <c r="V13" i="2"/>
  <c r="R14" i="2"/>
  <c r="S14" i="2"/>
  <c r="T14" i="2"/>
  <c r="U14" i="2"/>
  <c r="V14" i="2"/>
  <c r="R15" i="2"/>
  <c r="S15" i="2"/>
  <c r="T15" i="2"/>
  <c r="U15" i="2"/>
  <c r="V15" i="2"/>
  <c r="R16" i="2"/>
  <c r="S16" i="2"/>
  <c r="T16" i="2"/>
  <c r="U16" i="2"/>
  <c r="V16" i="2"/>
  <c r="R17" i="2"/>
  <c r="S17" i="2"/>
  <c r="T17" i="2"/>
  <c r="U17" i="2"/>
  <c r="V17" i="2"/>
  <c r="R18" i="2"/>
  <c r="S18" i="2"/>
  <c r="T18" i="2"/>
  <c r="U18" i="2"/>
  <c r="V18" i="2"/>
  <c r="R19" i="2"/>
  <c r="S19" i="2"/>
  <c r="T19" i="2"/>
  <c r="U19" i="2"/>
  <c r="V19" i="2"/>
  <c r="R20" i="2"/>
  <c r="S20" i="2"/>
  <c r="T20" i="2"/>
  <c r="U20" i="2"/>
  <c r="V20" i="2"/>
  <c r="R21" i="2"/>
  <c r="S21" i="2"/>
  <c r="T21" i="2"/>
  <c r="U21" i="2"/>
  <c r="V21" i="2"/>
  <c r="R22" i="2"/>
  <c r="S22" i="2"/>
  <c r="T22" i="2"/>
  <c r="U22" i="2"/>
  <c r="V22" i="2"/>
  <c r="R23" i="2"/>
  <c r="S23" i="2"/>
  <c r="T23" i="2"/>
  <c r="U23" i="2"/>
  <c r="V23" i="2"/>
  <c r="R24" i="2"/>
  <c r="S24" i="2"/>
  <c r="T24" i="2"/>
  <c r="U24" i="2"/>
  <c r="V24" i="2"/>
  <c r="R25" i="2"/>
  <c r="S25" i="2"/>
  <c r="T25" i="2"/>
  <c r="U25" i="2"/>
  <c r="V25" i="2"/>
  <c r="R26" i="2"/>
  <c r="S26" i="2"/>
  <c r="T26" i="2"/>
  <c r="U26" i="2"/>
  <c r="V26" i="2"/>
  <c r="R27" i="2"/>
  <c r="S27" i="2"/>
  <c r="T27" i="2"/>
  <c r="U27" i="2"/>
  <c r="V27" i="2"/>
  <c r="R28" i="2"/>
  <c r="S28" i="2"/>
  <c r="T28" i="2"/>
  <c r="U28" i="2"/>
  <c r="V28" i="2"/>
  <c r="R29" i="2"/>
  <c r="S29" i="2"/>
  <c r="T29" i="2"/>
  <c r="U29" i="2"/>
  <c r="V29" i="2"/>
  <c r="R30" i="2"/>
  <c r="S30" i="2"/>
  <c r="T30" i="2"/>
  <c r="U30" i="2"/>
  <c r="V30" i="2"/>
  <c r="R31" i="2"/>
  <c r="S31" i="2"/>
  <c r="T31" i="2"/>
  <c r="U31" i="2"/>
  <c r="V31" i="2"/>
  <c r="R32" i="2"/>
  <c r="S32" i="2"/>
  <c r="T32" i="2"/>
  <c r="U32" i="2"/>
  <c r="V32" i="2"/>
  <c r="R33" i="2"/>
  <c r="S33" i="2"/>
  <c r="T33" i="2"/>
  <c r="U33" i="2"/>
  <c r="V33" i="2"/>
  <c r="R34" i="2"/>
  <c r="S34" i="2"/>
  <c r="T34" i="2"/>
  <c r="U34" i="2"/>
  <c r="V34" i="2"/>
  <c r="R35" i="2"/>
  <c r="S35" i="2"/>
  <c r="T35" i="2"/>
  <c r="U35" i="2"/>
  <c r="V35" i="2"/>
  <c r="R36" i="2"/>
  <c r="S36" i="2"/>
  <c r="T36" i="2"/>
  <c r="U36" i="2"/>
  <c r="V36" i="2"/>
  <c r="R37" i="2"/>
  <c r="S37" i="2"/>
  <c r="T37" i="2"/>
  <c r="U37" i="2"/>
  <c r="V37" i="2"/>
  <c r="R38" i="2"/>
  <c r="S38" i="2"/>
  <c r="T38" i="2"/>
  <c r="U38" i="2"/>
  <c r="V38" i="2"/>
  <c r="R39" i="2"/>
  <c r="S39" i="2"/>
  <c r="T39" i="2"/>
  <c r="U39" i="2"/>
  <c r="V39" i="2"/>
  <c r="R40" i="2"/>
  <c r="S40" i="2"/>
  <c r="T40" i="2"/>
  <c r="U40" i="2"/>
  <c r="V40" i="2"/>
  <c r="R41" i="2"/>
  <c r="S41" i="2"/>
  <c r="T41" i="2"/>
  <c r="U41" i="2"/>
  <c r="V41" i="2"/>
  <c r="R42" i="2"/>
  <c r="S42" i="2"/>
  <c r="T42" i="2"/>
  <c r="U42" i="2"/>
  <c r="V42" i="2"/>
  <c r="R43" i="2"/>
  <c r="S43" i="2"/>
  <c r="T43" i="2"/>
  <c r="U43" i="2"/>
  <c r="V43" i="2"/>
  <c r="R44" i="2"/>
  <c r="S44" i="2"/>
  <c r="T44" i="2"/>
  <c r="U44" i="2"/>
  <c r="V44" i="2"/>
  <c r="R45" i="2"/>
  <c r="S45" i="2"/>
  <c r="T45" i="2"/>
  <c r="U45" i="2"/>
  <c r="V45" i="2"/>
  <c r="R46" i="2"/>
  <c r="S46" i="2"/>
  <c r="T46" i="2"/>
  <c r="U46" i="2"/>
  <c r="V46" i="2"/>
  <c r="R47" i="2"/>
  <c r="S47" i="2"/>
  <c r="T47" i="2"/>
  <c r="U47" i="2"/>
  <c r="V47" i="2"/>
  <c r="R48" i="2"/>
  <c r="S48" i="2"/>
  <c r="T48" i="2"/>
  <c r="U48" i="2"/>
  <c r="V48" i="2"/>
  <c r="R49" i="2"/>
  <c r="S49" i="2"/>
  <c r="T49" i="2"/>
  <c r="U49" i="2"/>
  <c r="V49" i="2"/>
  <c r="R50" i="2"/>
  <c r="S50" i="2"/>
  <c r="T50" i="2"/>
  <c r="U50" i="2"/>
  <c r="V50" i="2"/>
  <c r="R51" i="2"/>
  <c r="S51" i="2"/>
  <c r="T51" i="2"/>
  <c r="U51" i="2"/>
  <c r="V51" i="2"/>
  <c r="R52" i="2"/>
  <c r="S52" i="2"/>
  <c r="T52" i="2"/>
  <c r="U52" i="2"/>
  <c r="V52" i="2"/>
  <c r="R53" i="2"/>
  <c r="S53" i="2"/>
  <c r="T53" i="2"/>
  <c r="U53" i="2"/>
  <c r="V53" i="2"/>
  <c r="R54" i="2"/>
  <c r="S54" i="2"/>
  <c r="T54" i="2"/>
  <c r="U54" i="2"/>
  <c r="V54" i="2"/>
  <c r="R55" i="2"/>
  <c r="S55" i="2"/>
  <c r="T55" i="2"/>
  <c r="U55" i="2"/>
  <c r="V55" i="2"/>
  <c r="R56" i="2"/>
  <c r="S56" i="2"/>
  <c r="T56" i="2"/>
  <c r="U56" i="2"/>
  <c r="V56" i="2"/>
  <c r="R57" i="2"/>
  <c r="S57" i="2"/>
  <c r="T57" i="2"/>
  <c r="U57" i="2"/>
  <c r="V57" i="2"/>
  <c r="R58" i="2"/>
  <c r="S58" i="2"/>
  <c r="T58" i="2"/>
  <c r="U58" i="2"/>
  <c r="V58" i="2"/>
  <c r="R59" i="2"/>
  <c r="S59" i="2"/>
  <c r="T59" i="2"/>
  <c r="U59" i="2"/>
  <c r="V59" i="2"/>
  <c r="R60" i="2"/>
  <c r="S60" i="2"/>
  <c r="T60" i="2"/>
  <c r="U60" i="2"/>
  <c r="V60" i="2"/>
  <c r="R61" i="2"/>
  <c r="S61" i="2"/>
  <c r="T61" i="2"/>
  <c r="U61" i="2"/>
  <c r="V61" i="2"/>
  <c r="R62" i="2"/>
  <c r="S62" i="2"/>
  <c r="T62" i="2"/>
  <c r="U62" i="2"/>
  <c r="V62" i="2"/>
  <c r="R63" i="2"/>
  <c r="S63" i="2"/>
  <c r="T63" i="2"/>
  <c r="U63" i="2"/>
  <c r="V63" i="2"/>
  <c r="R64" i="2"/>
  <c r="S64" i="2"/>
  <c r="T64" i="2"/>
  <c r="U64" i="2"/>
  <c r="V64" i="2"/>
  <c r="R65" i="2"/>
  <c r="S65" i="2"/>
  <c r="T65" i="2"/>
  <c r="U65" i="2"/>
  <c r="V65" i="2"/>
  <c r="R66" i="2"/>
  <c r="S66" i="2"/>
  <c r="T66" i="2"/>
  <c r="U66" i="2"/>
  <c r="V66" i="2"/>
  <c r="R67" i="2"/>
  <c r="S67" i="2"/>
  <c r="T67" i="2"/>
  <c r="U67" i="2"/>
  <c r="V67" i="2"/>
  <c r="R68" i="2"/>
  <c r="S68" i="2"/>
  <c r="T68" i="2"/>
  <c r="U68" i="2"/>
  <c r="V68" i="2"/>
  <c r="R69" i="2"/>
  <c r="S69" i="2"/>
  <c r="T69" i="2"/>
  <c r="U69" i="2"/>
  <c r="V69" i="2"/>
  <c r="R70" i="2"/>
  <c r="S70" i="2"/>
  <c r="T70" i="2"/>
  <c r="U70" i="2"/>
  <c r="V70" i="2"/>
  <c r="R71" i="2"/>
  <c r="S71" i="2"/>
  <c r="T71" i="2"/>
  <c r="U71" i="2"/>
  <c r="V71" i="2"/>
  <c r="R72" i="2"/>
  <c r="S72" i="2"/>
  <c r="T72" i="2"/>
  <c r="U72" i="2"/>
  <c r="V72" i="2"/>
  <c r="R73" i="2"/>
  <c r="S73" i="2"/>
  <c r="T73" i="2"/>
  <c r="U73" i="2"/>
  <c r="V73" i="2"/>
  <c r="R74" i="2"/>
  <c r="S74" i="2"/>
  <c r="T74" i="2"/>
  <c r="U74" i="2"/>
  <c r="V74" i="2"/>
  <c r="R75" i="2"/>
  <c r="S75" i="2"/>
  <c r="T75" i="2"/>
  <c r="U75" i="2"/>
  <c r="V75" i="2"/>
  <c r="R76" i="2"/>
  <c r="S76" i="2"/>
  <c r="T76" i="2"/>
  <c r="U76" i="2"/>
  <c r="V76" i="2"/>
  <c r="R77" i="2"/>
  <c r="S77" i="2"/>
  <c r="T77" i="2"/>
  <c r="U77" i="2"/>
  <c r="V77" i="2"/>
  <c r="R78" i="2"/>
  <c r="S78" i="2"/>
  <c r="T78" i="2"/>
  <c r="U78" i="2"/>
  <c r="V78" i="2"/>
  <c r="R79" i="2"/>
  <c r="S79" i="2"/>
  <c r="T79" i="2"/>
  <c r="U79" i="2"/>
  <c r="V79" i="2"/>
  <c r="R80" i="2"/>
  <c r="S80" i="2"/>
  <c r="T80" i="2"/>
  <c r="U80" i="2"/>
  <c r="V80" i="2"/>
  <c r="R81" i="2"/>
  <c r="S81" i="2"/>
  <c r="T81" i="2"/>
  <c r="U81" i="2"/>
  <c r="V81" i="2"/>
  <c r="R82" i="2"/>
  <c r="S82" i="2"/>
  <c r="T82" i="2"/>
  <c r="U82" i="2"/>
  <c r="V82" i="2"/>
  <c r="R83" i="2"/>
  <c r="S83" i="2"/>
  <c r="T83" i="2"/>
  <c r="U83" i="2"/>
  <c r="V83" i="2"/>
  <c r="R84" i="2"/>
  <c r="S84" i="2"/>
  <c r="T84" i="2"/>
  <c r="U84" i="2"/>
  <c r="V84" i="2"/>
  <c r="R85" i="2"/>
  <c r="S85" i="2"/>
  <c r="T85" i="2"/>
  <c r="U85" i="2"/>
  <c r="V85" i="2"/>
  <c r="R86" i="2"/>
  <c r="S86" i="2"/>
  <c r="T86" i="2"/>
  <c r="U86" i="2"/>
  <c r="V86" i="2"/>
  <c r="R87" i="2"/>
  <c r="S87" i="2"/>
  <c r="T87" i="2"/>
  <c r="U87" i="2"/>
  <c r="V87" i="2"/>
  <c r="R88" i="2"/>
  <c r="S88" i="2"/>
  <c r="T88" i="2"/>
  <c r="U88" i="2"/>
  <c r="V88" i="2"/>
  <c r="R89" i="2"/>
  <c r="S89" i="2"/>
  <c r="T89" i="2"/>
  <c r="U89" i="2"/>
  <c r="V89" i="2"/>
  <c r="R90" i="2"/>
  <c r="S90" i="2"/>
  <c r="T90" i="2"/>
  <c r="U90" i="2"/>
  <c r="V90" i="2"/>
  <c r="R91" i="2"/>
  <c r="S91" i="2"/>
  <c r="T91" i="2"/>
  <c r="U91" i="2"/>
  <c r="V91" i="2"/>
  <c r="R92" i="2"/>
  <c r="S92" i="2"/>
  <c r="T92" i="2"/>
  <c r="U92" i="2"/>
  <c r="V92" i="2"/>
  <c r="R93" i="2"/>
  <c r="S93" i="2"/>
  <c r="T93" i="2"/>
  <c r="U93" i="2"/>
  <c r="V93" i="2"/>
  <c r="R94" i="2"/>
  <c r="S94" i="2"/>
  <c r="T94" i="2"/>
  <c r="U94" i="2"/>
  <c r="V94" i="2"/>
  <c r="R95" i="2"/>
  <c r="S95" i="2"/>
  <c r="T95" i="2"/>
  <c r="U95" i="2"/>
  <c r="V95" i="2"/>
  <c r="R96" i="2"/>
  <c r="S96" i="2"/>
  <c r="T96" i="2"/>
  <c r="U96" i="2"/>
  <c r="V96" i="2"/>
  <c r="R97" i="2"/>
  <c r="S97" i="2"/>
  <c r="T97" i="2"/>
  <c r="U97" i="2"/>
  <c r="V97" i="2"/>
  <c r="R98" i="2"/>
  <c r="S98" i="2"/>
  <c r="T98" i="2"/>
  <c r="U98" i="2"/>
  <c r="V98" i="2"/>
  <c r="R99" i="2"/>
  <c r="S99" i="2"/>
  <c r="T99" i="2"/>
  <c r="U99" i="2"/>
  <c r="V99" i="2"/>
  <c r="R100" i="2"/>
  <c r="S100" i="2"/>
  <c r="T100" i="2"/>
  <c r="U100" i="2"/>
  <c r="V100" i="2"/>
  <c r="R101" i="2"/>
  <c r="S101" i="2"/>
  <c r="T101" i="2"/>
  <c r="U101" i="2"/>
  <c r="V101" i="2"/>
  <c r="R102" i="2"/>
  <c r="S102" i="2"/>
  <c r="T102" i="2"/>
  <c r="U102" i="2"/>
  <c r="V102" i="2"/>
  <c r="R103" i="2"/>
  <c r="S103" i="2"/>
  <c r="T103" i="2"/>
  <c r="U103" i="2"/>
  <c r="V103" i="2"/>
  <c r="R104" i="2"/>
  <c r="S104" i="2"/>
  <c r="T104" i="2"/>
  <c r="U104" i="2"/>
  <c r="V104" i="2"/>
  <c r="R105" i="2"/>
  <c r="S105" i="2"/>
  <c r="T105" i="2"/>
  <c r="U105" i="2"/>
  <c r="V105" i="2"/>
  <c r="R106" i="2"/>
  <c r="S106" i="2"/>
  <c r="T106" i="2"/>
  <c r="U106" i="2"/>
  <c r="V106" i="2"/>
  <c r="R107" i="2"/>
  <c r="S107" i="2"/>
  <c r="T107" i="2"/>
  <c r="U107" i="2"/>
  <c r="V107" i="2"/>
  <c r="R108" i="2"/>
  <c r="S108" i="2"/>
  <c r="T108" i="2"/>
  <c r="U108" i="2"/>
  <c r="V108" i="2"/>
  <c r="R109" i="2"/>
  <c r="S109" i="2"/>
  <c r="T109" i="2"/>
  <c r="U109" i="2"/>
  <c r="V109" i="2"/>
  <c r="R110" i="2"/>
  <c r="S110" i="2"/>
  <c r="T110" i="2"/>
  <c r="U110" i="2"/>
  <c r="V110" i="2"/>
  <c r="R111" i="2"/>
  <c r="S111" i="2"/>
  <c r="T111" i="2"/>
  <c r="U111" i="2"/>
  <c r="V111" i="2"/>
  <c r="R112" i="2"/>
  <c r="S112" i="2"/>
  <c r="T112" i="2"/>
  <c r="U112" i="2"/>
  <c r="V112" i="2"/>
  <c r="R113" i="2"/>
  <c r="S113" i="2"/>
  <c r="T113" i="2"/>
  <c r="U113" i="2"/>
  <c r="V113" i="2"/>
  <c r="R114" i="2"/>
  <c r="S114" i="2"/>
  <c r="T114" i="2"/>
  <c r="U114" i="2"/>
  <c r="V114" i="2"/>
  <c r="R115" i="2"/>
  <c r="S115" i="2"/>
  <c r="T115" i="2"/>
  <c r="U115" i="2"/>
  <c r="V115" i="2"/>
  <c r="R116" i="2"/>
  <c r="S116" i="2"/>
  <c r="T116" i="2"/>
  <c r="U116" i="2"/>
  <c r="V116" i="2"/>
  <c r="R117" i="2"/>
  <c r="S117" i="2"/>
  <c r="T117" i="2"/>
  <c r="U117" i="2"/>
  <c r="V117" i="2"/>
  <c r="R118" i="2"/>
  <c r="S118" i="2"/>
  <c r="T118" i="2"/>
  <c r="U118" i="2"/>
  <c r="V118" i="2"/>
  <c r="R119" i="2"/>
  <c r="S119" i="2"/>
  <c r="T119" i="2"/>
  <c r="U119" i="2"/>
  <c r="V119" i="2"/>
  <c r="R120" i="2"/>
  <c r="S120" i="2"/>
  <c r="T120" i="2"/>
  <c r="U120" i="2"/>
  <c r="V120" i="2"/>
  <c r="R121" i="2"/>
  <c r="S121" i="2"/>
  <c r="T121" i="2"/>
  <c r="U121" i="2"/>
  <c r="V121" i="2"/>
  <c r="R122" i="2"/>
  <c r="S122" i="2"/>
  <c r="T122" i="2"/>
  <c r="U122" i="2"/>
  <c r="V122" i="2"/>
  <c r="R123" i="2"/>
  <c r="S123" i="2"/>
  <c r="T123" i="2"/>
  <c r="U123" i="2"/>
  <c r="V123" i="2"/>
  <c r="R124" i="2"/>
  <c r="S124" i="2"/>
  <c r="T124" i="2"/>
  <c r="U124" i="2"/>
  <c r="V124" i="2"/>
  <c r="R125" i="2"/>
  <c r="S125" i="2"/>
  <c r="T125" i="2"/>
  <c r="U125" i="2"/>
  <c r="V125" i="2"/>
  <c r="R126" i="2"/>
  <c r="S126" i="2"/>
  <c r="T126" i="2"/>
  <c r="U126" i="2"/>
  <c r="V126" i="2"/>
  <c r="R127" i="2"/>
  <c r="S127" i="2"/>
  <c r="T127" i="2"/>
  <c r="U127" i="2"/>
  <c r="V127" i="2"/>
  <c r="R128" i="2"/>
  <c r="S128" i="2"/>
  <c r="T128" i="2"/>
  <c r="U128" i="2"/>
  <c r="V128" i="2"/>
  <c r="R129" i="2"/>
  <c r="S129" i="2"/>
  <c r="T129" i="2"/>
  <c r="U129" i="2"/>
  <c r="V129" i="2"/>
  <c r="R130" i="2"/>
  <c r="S130" i="2"/>
  <c r="T130" i="2"/>
  <c r="U130" i="2"/>
  <c r="V130" i="2"/>
  <c r="R131" i="2"/>
  <c r="S131" i="2"/>
  <c r="T131" i="2"/>
  <c r="U131" i="2"/>
  <c r="V131" i="2"/>
  <c r="R132" i="2"/>
  <c r="S132" i="2"/>
  <c r="T132" i="2"/>
  <c r="U132" i="2"/>
  <c r="V132" i="2"/>
  <c r="R133" i="2"/>
  <c r="S133" i="2"/>
  <c r="T133" i="2"/>
  <c r="U133" i="2"/>
  <c r="V133" i="2"/>
  <c r="R134" i="2"/>
  <c r="S134" i="2"/>
  <c r="T134" i="2"/>
  <c r="U134" i="2"/>
  <c r="V134" i="2"/>
  <c r="R135" i="2"/>
  <c r="S135" i="2"/>
  <c r="T135" i="2"/>
  <c r="U135" i="2"/>
  <c r="V135" i="2"/>
  <c r="R136" i="2"/>
  <c r="S136" i="2"/>
  <c r="T136" i="2"/>
  <c r="U136" i="2"/>
  <c r="V136" i="2"/>
  <c r="R137" i="2"/>
  <c r="S137" i="2"/>
  <c r="T137" i="2"/>
  <c r="U137" i="2"/>
  <c r="V137" i="2"/>
  <c r="R138" i="2"/>
  <c r="S138" i="2"/>
  <c r="T138" i="2"/>
  <c r="U138" i="2"/>
  <c r="V138" i="2"/>
  <c r="R139" i="2"/>
  <c r="S139" i="2"/>
  <c r="T139" i="2"/>
  <c r="U139" i="2"/>
  <c r="V139" i="2"/>
  <c r="R140" i="2"/>
  <c r="S140" i="2"/>
  <c r="T140" i="2"/>
  <c r="U140" i="2"/>
  <c r="V140" i="2"/>
  <c r="R141" i="2"/>
  <c r="S141" i="2"/>
  <c r="T141" i="2"/>
  <c r="U141" i="2"/>
  <c r="V141" i="2"/>
  <c r="R142" i="2"/>
  <c r="S142" i="2"/>
  <c r="T142" i="2"/>
  <c r="U142" i="2"/>
  <c r="V142" i="2"/>
  <c r="R143" i="2"/>
  <c r="S143" i="2"/>
  <c r="T143" i="2"/>
  <c r="U143" i="2"/>
  <c r="V143" i="2"/>
  <c r="R144" i="2"/>
  <c r="S144" i="2"/>
  <c r="T144" i="2"/>
  <c r="U144" i="2"/>
  <c r="V144" i="2"/>
  <c r="R145" i="2"/>
  <c r="S145" i="2"/>
  <c r="T145" i="2"/>
  <c r="U145" i="2"/>
  <c r="V145" i="2"/>
  <c r="R146" i="2"/>
  <c r="S146" i="2"/>
  <c r="T146" i="2"/>
  <c r="U146" i="2"/>
  <c r="V146" i="2"/>
  <c r="R147" i="2"/>
  <c r="S147" i="2"/>
  <c r="T147" i="2"/>
  <c r="U147" i="2"/>
  <c r="V147" i="2"/>
  <c r="R148" i="2"/>
  <c r="S148" i="2"/>
  <c r="T148" i="2"/>
  <c r="U148" i="2"/>
  <c r="V148" i="2"/>
  <c r="R149" i="2"/>
  <c r="S149" i="2"/>
  <c r="T149" i="2"/>
  <c r="U149" i="2"/>
  <c r="V149" i="2"/>
  <c r="R150" i="2"/>
  <c r="S150" i="2"/>
  <c r="T150" i="2"/>
  <c r="U150" i="2"/>
  <c r="V150" i="2"/>
  <c r="R151" i="2"/>
  <c r="S151" i="2"/>
  <c r="T151" i="2"/>
  <c r="U151" i="2"/>
  <c r="V151" i="2"/>
  <c r="R152" i="2"/>
  <c r="S152" i="2"/>
  <c r="T152" i="2"/>
  <c r="U152" i="2"/>
  <c r="V152" i="2"/>
  <c r="R153" i="2"/>
  <c r="S153" i="2"/>
  <c r="T153" i="2"/>
  <c r="U153" i="2"/>
  <c r="V153" i="2"/>
  <c r="R154" i="2"/>
  <c r="S154" i="2"/>
  <c r="T154" i="2"/>
  <c r="U154" i="2"/>
  <c r="V154" i="2"/>
  <c r="R155" i="2"/>
  <c r="S155" i="2"/>
  <c r="T155" i="2"/>
  <c r="U155" i="2"/>
  <c r="V155" i="2"/>
  <c r="R156" i="2"/>
  <c r="S156" i="2"/>
  <c r="T156" i="2"/>
  <c r="U156" i="2"/>
  <c r="V156" i="2"/>
  <c r="L2" i="3"/>
  <c r="M2" i="3"/>
  <c r="N2" i="3"/>
  <c r="O2" i="3"/>
  <c r="R2" i="3"/>
  <c r="S2" i="3"/>
  <c r="T2" i="3"/>
  <c r="U2" i="3"/>
  <c r="V2" i="3"/>
  <c r="X2" i="3"/>
  <c r="Y2" i="3"/>
  <c r="L3" i="3"/>
  <c r="M3" i="3"/>
  <c r="N3" i="3"/>
  <c r="O3" i="3"/>
  <c r="R3" i="3"/>
  <c r="S3" i="3"/>
  <c r="T3" i="3"/>
  <c r="U3" i="3"/>
  <c r="V3" i="3"/>
  <c r="X3" i="3"/>
  <c r="Y3" i="3"/>
  <c r="L4" i="3"/>
  <c r="M4" i="3"/>
  <c r="N4" i="3"/>
  <c r="O4" i="3"/>
  <c r="R4" i="3"/>
  <c r="S4" i="3"/>
  <c r="T4" i="3"/>
  <c r="U4" i="3"/>
  <c r="V4" i="3"/>
  <c r="X4" i="3"/>
  <c r="Y4" i="3"/>
  <c r="L5" i="3"/>
  <c r="M5" i="3"/>
  <c r="N5" i="3"/>
  <c r="O5" i="3"/>
  <c r="R5" i="3"/>
  <c r="S5" i="3"/>
  <c r="T5" i="3"/>
  <c r="U5" i="3"/>
  <c r="V5" i="3"/>
  <c r="X5" i="3"/>
  <c r="Y5" i="3"/>
  <c r="L6" i="3"/>
  <c r="M6" i="3"/>
  <c r="N6" i="3"/>
  <c r="O6" i="3"/>
  <c r="R6" i="3"/>
  <c r="S6" i="3"/>
  <c r="T6" i="3"/>
  <c r="U6" i="3"/>
  <c r="V6" i="3"/>
  <c r="X6" i="3"/>
  <c r="Y6" i="3"/>
  <c r="L7" i="3"/>
  <c r="M7" i="3"/>
  <c r="N7" i="3"/>
  <c r="O7" i="3"/>
  <c r="R7" i="3"/>
  <c r="S7" i="3"/>
  <c r="T7" i="3"/>
  <c r="U7" i="3"/>
  <c r="V7" i="3"/>
  <c r="X7" i="3"/>
  <c r="Y7" i="3"/>
  <c r="L8" i="3"/>
  <c r="M8" i="3"/>
  <c r="N8" i="3"/>
  <c r="O8" i="3"/>
  <c r="R8" i="3"/>
  <c r="S8" i="3"/>
  <c r="T8" i="3"/>
  <c r="U8" i="3"/>
  <c r="V8" i="3"/>
  <c r="X8" i="3"/>
  <c r="Y8" i="3"/>
  <c r="R9" i="3"/>
  <c r="S9" i="3"/>
  <c r="T9" i="3"/>
  <c r="U9" i="3"/>
  <c r="V9" i="3"/>
  <c r="X9" i="3"/>
  <c r="Y9" i="3"/>
  <c r="K10" i="3"/>
  <c r="R10" i="3"/>
  <c r="S10" i="3"/>
  <c r="T10" i="3"/>
  <c r="U10" i="3"/>
  <c r="V10" i="3"/>
  <c r="X10" i="3"/>
  <c r="Y10" i="3"/>
  <c r="R11" i="3"/>
  <c r="S11" i="3"/>
  <c r="T11" i="3"/>
  <c r="U11" i="3"/>
  <c r="V11" i="3"/>
  <c r="X11" i="3"/>
  <c r="Y11" i="3"/>
  <c r="R12" i="3"/>
  <c r="S12" i="3"/>
  <c r="T12" i="3"/>
  <c r="U12" i="3"/>
  <c r="V12" i="3"/>
  <c r="X12" i="3"/>
  <c r="Y12" i="3"/>
  <c r="R13" i="3"/>
  <c r="S13" i="3"/>
  <c r="T13" i="3"/>
  <c r="U13" i="3"/>
  <c r="V13" i="3"/>
  <c r="X13" i="3"/>
  <c r="Y13" i="3"/>
  <c r="R14" i="3"/>
  <c r="S14" i="3"/>
  <c r="T14" i="3"/>
  <c r="U14" i="3"/>
  <c r="V14" i="3"/>
  <c r="X14" i="3"/>
  <c r="Y14" i="3"/>
  <c r="R15" i="3"/>
  <c r="S15" i="3"/>
  <c r="T15" i="3"/>
  <c r="U15" i="3"/>
  <c r="V15" i="3"/>
  <c r="X15" i="3"/>
  <c r="Y15" i="3"/>
  <c r="R16" i="3"/>
  <c r="S16" i="3"/>
  <c r="T16" i="3"/>
  <c r="U16" i="3"/>
  <c r="V16" i="3"/>
  <c r="X16" i="3"/>
  <c r="Y16" i="3"/>
  <c r="R17" i="3"/>
  <c r="S17" i="3"/>
  <c r="T17" i="3"/>
  <c r="U17" i="3"/>
  <c r="V17" i="3"/>
  <c r="X17" i="3"/>
  <c r="Y17" i="3"/>
  <c r="R18" i="3"/>
  <c r="S18" i="3"/>
  <c r="T18" i="3"/>
  <c r="U18" i="3"/>
  <c r="V18" i="3"/>
  <c r="X18" i="3"/>
  <c r="Y18" i="3"/>
  <c r="R19" i="3"/>
  <c r="S19" i="3"/>
  <c r="T19" i="3"/>
  <c r="U19" i="3"/>
  <c r="V19" i="3"/>
  <c r="X19" i="3"/>
  <c r="Y19" i="3"/>
  <c r="R20" i="3"/>
  <c r="S20" i="3"/>
  <c r="T20" i="3"/>
  <c r="U20" i="3"/>
  <c r="V20" i="3"/>
  <c r="X20" i="3"/>
  <c r="Y20" i="3"/>
  <c r="R21" i="3"/>
  <c r="S21" i="3"/>
  <c r="T21" i="3"/>
  <c r="U21" i="3"/>
  <c r="V21" i="3"/>
  <c r="X21" i="3"/>
  <c r="Y21" i="3"/>
  <c r="R22" i="3"/>
  <c r="S22" i="3"/>
  <c r="T22" i="3"/>
  <c r="U22" i="3"/>
  <c r="V22" i="3"/>
  <c r="X22" i="3"/>
  <c r="Y22" i="3"/>
  <c r="R23" i="3"/>
  <c r="S23" i="3"/>
  <c r="T23" i="3"/>
  <c r="U23" i="3"/>
  <c r="V23" i="3"/>
  <c r="X23" i="3"/>
  <c r="Y23" i="3"/>
  <c r="R24" i="3"/>
  <c r="S24" i="3"/>
  <c r="T24" i="3"/>
  <c r="U24" i="3"/>
  <c r="V24" i="3"/>
  <c r="X24" i="3"/>
  <c r="Y24" i="3"/>
  <c r="R25" i="3"/>
  <c r="S25" i="3"/>
  <c r="T25" i="3"/>
  <c r="U25" i="3"/>
  <c r="V25" i="3"/>
  <c r="X25" i="3"/>
  <c r="Y25" i="3"/>
  <c r="R26" i="3"/>
  <c r="S26" i="3"/>
  <c r="T26" i="3"/>
  <c r="U26" i="3"/>
  <c r="V26" i="3"/>
  <c r="X26" i="3"/>
  <c r="Y26" i="3"/>
  <c r="R27" i="3"/>
  <c r="S27" i="3"/>
  <c r="T27" i="3"/>
  <c r="U27" i="3"/>
  <c r="V27" i="3"/>
  <c r="X27" i="3"/>
  <c r="Y27" i="3"/>
  <c r="R28" i="3"/>
  <c r="S28" i="3"/>
  <c r="T28" i="3"/>
  <c r="U28" i="3"/>
  <c r="V28" i="3"/>
  <c r="X28" i="3"/>
  <c r="Y28" i="3"/>
  <c r="R29" i="3"/>
  <c r="S29" i="3"/>
  <c r="T29" i="3"/>
  <c r="U29" i="3"/>
  <c r="V29" i="3"/>
  <c r="X29" i="3"/>
  <c r="Y29" i="3"/>
  <c r="R30" i="3"/>
  <c r="S30" i="3"/>
  <c r="T30" i="3"/>
  <c r="U30" i="3"/>
  <c r="V30" i="3"/>
  <c r="X30" i="3"/>
  <c r="Y30" i="3"/>
  <c r="R31" i="3"/>
  <c r="S31" i="3"/>
  <c r="T31" i="3"/>
  <c r="U31" i="3"/>
  <c r="V31" i="3"/>
  <c r="X31" i="3"/>
  <c r="Y31" i="3"/>
  <c r="R32" i="3"/>
  <c r="S32" i="3"/>
  <c r="T32" i="3"/>
  <c r="U32" i="3"/>
  <c r="V32" i="3"/>
  <c r="X32" i="3"/>
  <c r="Y32" i="3"/>
  <c r="R33" i="3"/>
  <c r="S33" i="3"/>
  <c r="T33" i="3"/>
  <c r="U33" i="3"/>
  <c r="V33" i="3"/>
  <c r="X33" i="3"/>
  <c r="Y33" i="3"/>
  <c r="R34" i="3"/>
  <c r="S34" i="3"/>
  <c r="T34" i="3"/>
  <c r="U34" i="3"/>
  <c r="V34" i="3"/>
  <c r="X34" i="3"/>
  <c r="Y34" i="3"/>
  <c r="R35" i="3"/>
  <c r="S35" i="3"/>
  <c r="T35" i="3"/>
  <c r="U35" i="3"/>
  <c r="V35" i="3"/>
  <c r="X35" i="3"/>
  <c r="Y35" i="3"/>
  <c r="R36" i="3"/>
  <c r="S36" i="3"/>
  <c r="T36" i="3"/>
  <c r="U36" i="3"/>
  <c r="V36" i="3"/>
  <c r="X36" i="3"/>
  <c r="Y36" i="3"/>
  <c r="R37" i="3"/>
  <c r="S37" i="3"/>
  <c r="T37" i="3"/>
  <c r="U37" i="3"/>
  <c r="V37" i="3"/>
  <c r="X37" i="3"/>
  <c r="Y37" i="3"/>
  <c r="R38" i="3"/>
  <c r="S38" i="3"/>
  <c r="T38" i="3"/>
  <c r="U38" i="3"/>
  <c r="V38" i="3"/>
  <c r="X38" i="3"/>
  <c r="Y38" i="3"/>
  <c r="R39" i="3"/>
  <c r="S39" i="3"/>
  <c r="T39" i="3"/>
  <c r="U39" i="3"/>
  <c r="V39" i="3"/>
  <c r="X39" i="3"/>
  <c r="Y39" i="3"/>
  <c r="R40" i="3"/>
  <c r="S40" i="3"/>
  <c r="T40" i="3"/>
  <c r="U40" i="3"/>
  <c r="V40" i="3"/>
  <c r="X40" i="3"/>
  <c r="Y40" i="3"/>
  <c r="R41" i="3"/>
  <c r="S41" i="3"/>
  <c r="T41" i="3"/>
  <c r="U41" i="3"/>
  <c r="V41" i="3"/>
  <c r="X41" i="3"/>
  <c r="Y41" i="3"/>
  <c r="R42" i="3"/>
  <c r="S42" i="3"/>
  <c r="T42" i="3"/>
  <c r="U42" i="3"/>
  <c r="V42" i="3"/>
  <c r="X42" i="3"/>
  <c r="Y42" i="3"/>
  <c r="R43" i="3"/>
  <c r="S43" i="3"/>
  <c r="T43" i="3"/>
  <c r="U43" i="3"/>
  <c r="V43" i="3"/>
  <c r="X43" i="3"/>
  <c r="Y43" i="3"/>
  <c r="R44" i="3"/>
  <c r="S44" i="3"/>
  <c r="T44" i="3"/>
  <c r="U44" i="3"/>
  <c r="V44" i="3"/>
  <c r="X44" i="3"/>
  <c r="Y44" i="3"/>
  <c r="R45" i="3"/>
  <c r="S45" i="3"/>
  <c r="T45" i="3"/>
  <c r="U45" i="3"/>
  <c r="V45" i="3"/>
  <c r="X45" i="3"/>
  <c r="Y45" i="3"/>
  <c r="R46" i="3"/>
  <c r="S46" i="3"/>
  <c r="T46" i="3"/>
  <c r="U46" i="3"/>
  <c r="V46" i="3"/>
  <c r="X46" i="3"/>
  <c r="Y46" i="3"/>
  <c r="R47" i="3"/>
  <c r="S47" i="3"/>
  <c r="T47" i="3"/>
  <c r="U47" i="3"/>
  <c r="V47" i="3"/>
  <c r="X47" i="3"/>
  <c r="Y47" i="3"/>
  <c r="R48" i="3"/>
  <c r="S48" i="3"/>
  <c r="T48" i="3"/>
  <c r="U48" i="3"/>
  <c r="V48" i="3"/>
  <c r="X48" i="3"/>
  <c r="Y48" i="3"/>
  <c r="R49" i="3"/>
  <c r="S49" i="3"/>
  <c r="T49" i="3"/>
  <c r="U49" i="3"/>
  <c r="V49" i="3"/>
  <c r="X49" i="3"/>
  <c r="Y49" i="3"/>
  <c r="R50" i="3"/>
  <c r="S50" i="3"/>
  <c r="T50" i="3"/>
  <c r="U50" i="3"/>
  <c r="V50" i="3"/>
  <c r="X50" i="3"/>
  <c r="Y50" i="3"/>
  <c r="R51" i="3"/>
  <c r="S51" i="3"/>
  <c r="T51" i="3"/>
  <c r="U51" i="3"/>
  <c r="V51" i="3"/>
  <c r="X51" i="3"/>
  <c r="Y51" i="3"/>
  <c r="R52" i="3"/>
  <c r="S52" i="3"/>
  <c r="T52" i="3"/>
  <c r="U52" i="3"/>
  <c r="V52" i="3"/>
  <c r="X52" i="3"/>
  <c r="Y52" i="3"/>
  <c r="R53" i="3"/>
  <c r="S53" i="3"/>
  <c r="T53" i="3"/>
  <c r="U53" i="3"/>
  <c r="V53" i="3"/>
  <c r="X53" i="3"/>
  <c r="Y53" i="3"/>
  <c r="R54" i="3"/>
  <c r="S54" i="3"/>
  <c r="T54" i="3"/>
  <c r="U54" i="3"/>
  <c r="V54" i="3"/>
  <c r="X54" i="3"/>
  <c r="Y54" i="3"/>
  <c r="R55" i="3"/>
  <c r="S55" i="3"/>
  <c r="T55" i="3"/>
  <c r="U55" i="3"/>
  <c r="V55" i="3"/>
  <c r="X55" i="3"/>
  <c r="Y55" i="3"/>
  <c r="R56" i="3"/>
  <c r="S56" i="3"/>
  <c r="T56" i="3"/>
  <c r="U56" i="3"/>
  <c r="V56" i="3"/>
  <c r="X56" i="3"/>
  <c r="Y56" i="3"/>
  <c r="R57" i="3"/>
  <c r="S57" i="3"/>
  <c r="T57" i="3"/>
  <c r="U57" i="3"/>
  <c r="V57" i="3"/>
  <c r="X57" i="3"/>
  <c r="Y57" i="3"/>
  <c r="R58" i="3"/>
  <c r="S58" i="3"/>
  <c r="T58" i="3"/>
  <c r="U58" i="3"/>
  <c r="V58" i="3"/>
  <c r="X58" i="3"/>
  <c r="Y58" i="3"/>
  <c r="R59" i="3"/>
  <c r="S59" i="3"/>
  <c r="T59" i="3"/>
  <c r="U59" i="3"/>
  <c r="V59" i="3"/>
  <c r="X59" i="3"/>
  <c r="Y59" i="3"/>
  <c r="R60" i="3"/>
  <c r="S60" i="3"/>
  <c r="T60" i="3"/>
  <c r="U60" i="3"/>
  <c r="V60" i="3"/>
  <c r="X60" i="3"/>
  <c r="Y60" i="3"/>
  <c r="R61" i="3"/>
  <c r="S61" i="3"/>
  <c r="T61" i="3"/>
  <c r="U61" i="3"/>
  <c r="V61" i="3"/>
  <c r="X61" i="3"/>
  <c r="Y61" i="3"/>
  <c r="R62" i="3"/>
  <c r="S62" i="3"/>
  <c r="T62" i="3"/>
  <c r="U62" i="3"/>
  <c r="V62" i="3"/>
  <c r="X62" i="3"/>
  <c r="Y62" i="3"/>
  <c r="R63" i="3"/>
  <c r="S63" i="3"/>
  <c r="T63" i="3"/>
  <c r="U63" i="3"/>
  <c r="V63" i="3"/>
  <c r="X63" i="3"/>
  <c r="Y63" i="3"/>
  <c r="R64" i="3"/>
  <c r="S64" i="3"/>
  <c r="T64" i="3"/>
  <c r="U64" i="3"/>
  <c r="V64" i="3"/>
  <c r="X64" i="3"/>
  <c r="Y64" i="3"/>
  <c r="R65" i="3"/>
  <c r="S65" i="3"/>
  <c r="T65" i="3"/>
  <c r="U65" i="3"/>
  <c r="V65" i="3"/>
  <c r="X65" i="3"/>
  <c r="Y65" i="3"/>
  <c r="R66" i="3"/>
  <c r="S66" i="3"/>
  <c r="T66" i="3"/>
  <c r="U66" i="3"/>
  <c r="V66" i="3"/>
  <c r="X66" i="3"/>
  <c r="Y66" i="3"/>
  <c r="R67" i="3"/>
  <c r="S67" i="3"/>
  <c r="T67" i="3"/>
  <c r="U67" i="3"/>
  <c r="V67" i="3"/>
  <c r="X67" i="3"/>
  <c r="Y67" i="3"/>
  <c r="R68" i="3"/>
  <c r="S68" i="3"/>
  <c r="T68" i="3"/>
  <c r="U68" i="3"/>
  <c r="V68" i="3"/>
  <c r="X68" i="3"/>
  <c r="Y68" i="3"/>
  <c r="R69" i="3"/>
  <c r="S69" i="3"/>
  <c r="T69" i="3"/>
  <c r="U69" i="3"/>
  <c r="V69" i="3"/>
  <c r="X69" i="3"/>
  <c r="Y69" i="3"/>
  <c r="R70" i="3"/>
  <c r="S70" i="3"/>
  <c r="T70" i="3"/>
  <c r="U70" i="3"/>
  <c r="V70" i="3"/>
  <c r="X70" i="3"/>
  <c r="Y70" i="3"/>
  <c r="R71" i="3"/>
  <c r="S71" i="3"/>
  <c r="T71" i="3"/>
  <c r="U71" i="3"/>
  <c r="V71" i="3"/>
  <c r="X71" i="3"/>
  <c r="Y71" i="3"/>
  <c r="R72" i="3"/>
  <c r="S72" i="3"/>
  <c r="T72" i="3"/>
  <c r="U72" i="3"/>
  <c r="V72" i="3"/>
  <c r="X72" i="3"/>
  <c r="Y72" i="3"/>
  <c r="R73" i="3"/>
  <c r="S73" i="3"/>
  <c r="T73" i="3"/>
  <c r="U73" i="3"/>
  <c r="V73" i="3"/>
  <c r="X73" i="3"/>
  <c r="Y73" i="3"/>
  <c r="R74" i="3"/>
  <c r="S74" i="3"/>
  <c r="T74" i="3"/>
  <c r="U74" i="3"/>
  <c r="V74" i="3"/>
  <c r="X74" i="3"/>
  <c r="Y74" i="3"/>
  <c r="R75" i="3"/>
  <c r="S75" i="3"/>
  <c r="T75" i="3"/>
  <c r="U75" i="3"/>
  <c r="V75" i="3"/>
  <c r="X75" i="3"/>
  <c r="Y75" i="3"/>
  <c r="R76" i="3"/>
  <c r="S76" i="3"/>
  <c r="T76" i="3"/>
  <c r="U76" i="3"/>
  <c r="V76" i="3"/>
  <c r="X76" i="3"/>
  <c r="Y76" i="3"/>
  <c r="R77" i="3"/>
  <c r="S77" i="3"/>
  <c r="T77" i="3"/>
  <c r="U77" i="3"/>
  <c r="V77" i="3"/>
  <c r="X77" i="3"/>
  <c r="Y77" i="3"/>
  <c r="R78" i="3"/>
  <c r="S78" i="3"/>
  <c r="T78" i="3"/>
  <c r="U78" i="3"/>
  <c r="V78" i="3"/>
  <c r="X78" i="3"/>
  <c r="Y78" i="3"/>
  <c r="R79" i="3"/>
  <c r="S79" i="3"/>
  <c r="T79" i="3"/>
  <c r="U79" i="3"/>
  <c r="V79" i="3"/>
  <c r="X79" i="3"/>
  <c r="Y79" i="3"/>
  <c r="R80" i="3"/>
  <c r="S80" i="3"/>
  <c r="T80" i="3"/>
  <c r="U80" i="3"/>
  <c r="V80" i="3"/>
  <c r="X80" i="3"/>
  <c r="Y80" i="3"/>
  <c r="R81" i="3"/>
  <c r="S81" i="3"/>
  <c r="T81" i="3"/>
  <c r="U81" i="3"/>
  <c r="V81" i="3"/>
  <c r="X81" i="3"/>
  <c r="Y81" i="3"/>
  <c r="R82" i="3"/>
  <c r="S82" i="3"/>
  <c r="T82" i="3"/>
  <c r="U82" i="3"/>
  <c r="V82" i="3"/>
  <c r="X82" i="3"/>
  <c r="Y82" i="3"/>
  <c r="R83" i="3"/>
  <c r="S83" i="3"/>
  <c r="T83" i="3"/>
  <c r="U83" i="3"/>
  <c r="V83" i="3"/>
  <c r="X83" i="3"/>
  <c r="Y83" i="3"/>
  <c r="R84" i="3"/>
  <c r="S84" i="3"/>
  <c r="T84" i="3"/>
  <c r="U84" i="3"/>
  <c r="V84" i="3"/>
  <c r="X84" i="3"/>
  <c r="Y84" i="3"/>
  <c r="R85" i="3"/>
  <c r="S85" i="3"/>
  <c r="T85" i="3"/>
  <c r="U85" i="3"/>
  <c r="V85" i="3"/>
  <c r="X85" i="3"/>
  <c r="Y85" i="3"/>
  <c r="R86" i="3"/>
  <c r="S86" i="3"/>
  <c r="T86" i="3"/>
  <c r="U86" i="3"/>
  <c r="V86" i="3"/>
  <c r="X86" i="3"/>
  <c r="Y86" i="3"/>
  <c r="R87" i="3"/>
  <c r="S87" i="3"/>
  <c r="T87" i="3"/>
  <c r="U87" i="3"/>
  <c r="V87" i="3"/>
  <c r="X87" i="3"/>
  <c r="Y87" i="3"/>
  <c r="R88" i="3"/>
  <c r="S88" i="3"/>
  <c r="T88" i="3"/>
  <c r="U88" i="3"/>
  <c r="V88" i="3"/>
  <c r="X88" i="3"/>
  <c r="Y88" i="3"/>
  <c r="R89" i="3"/>
  <c r="S89" i="3"/>
  <c r="T89" i="3"/>
  <c r="U89" i="3"/>
  <c r="V89" i="3"/>
  <c r="X89" i="3"/>
  <c r="Y89" i="3"/>
  <c r="R90" i="3"/>
  <c r="S90" i="3"/>
  <c r="T90" i="3"/>
  <c r="U90" i="3"/>
  <c r="V90" i="3"/>
  <c r="X90" i="3"/>
  <c r="Y90" i="3"/>
  <c r="R91" i="3"/>
  <c r="S91" i="3"/>
  <c r="T91" i="3"/>
  <c r="U91" i="3"/>
  <c r="V91" i="3"/>
  <c r="X91" i="3"/>
  <c r="Y91" i="3"/>
  <c r="R92" i="3"/>
  <c r="S92" i="3"/>
  <c r="T92" i="3"/>
  <c r="U92" i="3"/>
  <c r="V92" i="3"/>
  <c r="X92" i="3"/>
  <c r="Y92" i="3"/>
  <c r="R93" i="3"/>
  <c r="S93" i="3"/>
  <c r="T93" i="3"/>
  <c r="U93" i="3"/>
  <c r="V93" i="3"/>
  <c r="X93" i="3"/>
  <c r="Y93" i="3"/>
  <c r="R94" i="3"/>
  <c r="S94" i="3"/>
  <c r="T94" i="3"/>
  <c r="U94" i="3"/>
  <c r="V94" i="3"/>
  <c r="X94" i="3"/>
  <c r="Y94" i="3"/>
  <c r="R95" i="3"/>
  <c r="S95" i="3"/>
  <c r="T95" i="3"/>
  <c r="U95" i="3"/>
  <c r="V95" i="3"/>
  <c r="X95" i="3"/>
  <c r="Y95" i="3"/>
  <c r="R96" i="3"/>
  <c r="S96" i="3"/>
  <c r="T96" i="3"/>
  <c r="U96" i="3"/>
  <c r="V96" i="3"/>
  <c r="X96" i="3"/>
  <c r="Y96" i="3"/>
  <c r="R97" i="3"/>
  <c r="S97" i="3"/>
  <c r="T97" i="3"/>
  <c r="U97" i="3"/>
  <c r="V97" i="3"/>
  <c r="X97" i="3"/>
  <c r="Y97" i="3"/>
  <c r="R98" i="3"/>
  <c r="S98" i="3"/>
  <c r="T98" i="3"/>
  <c r="U98" i="3"/>
  <c r="V98" i="3"/>
  <c r="X98" i="3"/>
  <c r="Y98" i="3"/>
  <c r="R99" i="3"/>
  <c r="S99" i="3"/>
  <c r="T99" i="3"/>
  <c r="U99" i="3"/>
  <c r="V99" i="3"/>
  <c r="X99" i="3"/>
  <c r="Y99" i="3"/>
  <c r="R100" i="3"/>
  <c r="S100" i="3"/>
  <c r="T100" i="3"/>
  <c r="U100" i="3"/>
  <c r="V100" i="3"/>
  <c r="X100" i="3"/>
  <c r="Y100" i="3"/>
  <c r="R101" i="3"/>
  <c r="S101" i="3"/>
  <c r="T101" i="3"/>
  <c r="U101" i="3"/>
  <c r="V101" i="3"/>
  <c r="X101" i="3"/>
  <c r="Y101" i="3"/>
  <c r="R102" i="3"/>
  <c r="S102" i="3"/>
  <c r="T102" i="3"/>
  <c r="U102" i="3"/>
  <c r="V102" i="3"/>
  <c r="X102" i="3"/>
  <c r="Y102" i="3"/>
  <c r="R103" i="3"/>
  <c r="S103" i="3"/>
  <c r="T103" i="3"/>
  <c r="U103" i="3"/>
  <c r="V103" i="3"/>
  <c r="X103" i="3"/>
  <c r="Y103" i="3"/>
  <c r="R104" i="3"/>
  <c r="S104" i="3"/>
  <c r="T104" i="3"/>
  <c r="U104" i="3"/>
  <c r="V104" i="3"/>
  <c r="X104" i="3"/>
  <c r="Y104" i="3"/>
  <c r="R105" i="3"/>
  <c r="S105" i="3"/>
  <c r="T105" i="3"/>
  <c r="U105" i="3"/>
  <c r="V105" i="3"/>
  <c r="X105" i="3"/>
  <c r="Y105" i="3"/>
  <c r="R106" i="3"/>
  <c r="S106" i="3"/>
  <c r="T106" i="3"/>
  <c r="U106" i="3"/>
  <c r="V106" i="3"/>
  <c r="X106" i="3"/>
  <c r="Y106" i="3"/>
  <c r="R107" i="3"/>
  <c r="S107" i="3"/>
  <c r="T107" i="3"/>
  <c r="U107" i="3"/>
  <c r="V107" i="3"/>
  <c r="X107" i="3"/>
  <c r="Y107" i="3"/>
  <c r="R108" i="3"/>
  <c r="S108" i="3"/>
  <c r="T108" i="3"/>
  <c r="U108" i="3"/>
  <c r="V108" i="3"/>
  <c r="X108" i="3"/>
  <c r="Y108" i="3"/>
  <c r="R109" i="3"/>
  <c r="S109" i="3"/>
  <c r="T109" i="3"/>
  <c r="U109" i="3"/>
  <c r="V109" i="3"/>
  <c r="X109" i="3"/>
  <c r="Y109" i="3"/>
  <c r="R110" i="3"/>
  <c r="S110" i="3"/>
  <c r="T110" i="3"/>
  <c r="U110" i="3"/>
  <c r="V110" i="3"/>
  <c r="X110" i="3"/>
  <c r="Y110" i="3"/>
  <c r="R111" i="3"/>
  <c r="S111" i="3"/>
  <c r="T111" i="3"/>
  <c r="U111" i="3"/>
  <c r="V111" i="3"/>
  <c r="X111" i="3"/>
  <c r="Y111" i="3"/>
  <c r="R112" i="3"/>
  <c r="S112" i="3"/>
  <c r="T112" i="3"/>
  <c r="U112" i="3"/>
  <c r="V112" i="3"/>
  <c r="X112" i="3"/>
  <c r="Y112" i="3"/>
  <c r="R113" i="3"/>
  <c r="S113" i="3"/>
  <c r="T113" i="3"/>
  <c r="U113" i="3"/>
  <c r="V113" i="3"/>
  <c r="X113" i="3"/>
  <c r="Y113" i="3"/>
  <c r="R114" i="3"/>
  <c r="S114" i="3"/>
  <c r="T114" i="3"/>
  <c r="U114" i="3"/>
  <c r="V114" i="3"/>
  <c r="X114" i="3"/>
  <c r="Y114" i="3"/>
  <c r="R115" i="3"/>
  <c r="S115" i="3"/>
  <c r="T115" i="3"/>
  <c r="U115" i="3"/>
  <c r="V115" i="3"/>
  <c r="X115" i="3"/>
  <c r="Y115" i="3"/>
  <c r="R116" i="3"/>
  <c r="S116" i="3"/>
  <c r="T116" i="3"/>
  <c r="U116" i="3"/>
  <c r="V116" i="3"/>
  <c r="X116" i="3"/>
  <c r="Y116" i="3"/>
  <c r="R117" i="3"/>
  <c r="S117" i="3"/>
  <c r="T117" i="3"/>
  <c r="U117" i="3"/>
  <c r="V117" i="3"/>
  <c r="X117" i="3"/>
  <c r="Y117" i="3"/>
  <c r="R118" i="3"/>
  <c r="S118" i="3"/>
  <c r="T118" i="3"/>
  <c r="U118" i="3"/>
  <c r="V118" i="3"/>
  <c r="X118" i="3"/>
  <c r="Y118" i="3"/>
  <c r="R119" i="3"/>
  <c r="S119" i="3"/>
  <c r="T119" i="3"/>
  <c r="U119" i="3"/>
  <c r="V119" i="3"/>
  <c r="X119" i="3"/>
  <c r="Y119" i="3"/>
  <c r="R120" i="3"/>
  <c r="S120" i="3"/>
  <c r="T120" i="3"/>
  <c r="U120" i="3"/>
  <c r="V120" i="3"/>
  <c r="X120" i="3"/>
  <c r="Y120" i="3"/>
  <c r="R121" i="3"/>
  <c r="S121" i="3"/>
  <c r="T121" i="3"/>
  <c r="U121" i="3"/>
  <c r="V121" i="3"/>
  <c r="X121" i="3"/>
  <c r="Y121" i="3"/>
  <c r="R122" i="3"/>
  <c r="S122" i="3"/>
  <c r="T122" i="3"/>
  <c r="U122" i="3"/>
  <c r="V122" i="3"/>
  <c r="X122" i="3"/>
  <c r="Y122" i="3"/>
  <c r="R123" i="3"/>
  <c r="S123" i="3"/>
  <c r="T123" i="3"/>
  <c r="U123" i="3"/>
  <c r="V123" i="3"/>
  <c r="X123" i="3"/>
  <c r="Y123" i="3"/>
  <c r="R124" i="3"/>
  <c r="S124" i="3"/>
  <c r="T124" i="3"/>
  <c r="U124" i="3"/>
  <c r="V124" i="3"/>
  <c r="X124" i="3"/>
  <c r="Y124" i="3"/>
  <c r="R125" i="3"/>
  <c r="S125" i="3"/>
  <c r="T125" i="3"/>
  <c r="U125" i="3"/>
  <c r="V125" i="3"/>
  <c r="X125" i="3"/>
  <c r="Y125" i="3"/>
  <c r="R126" i="3"/>
  <c r="S126" i="3"/>
  <c r="T126" i="3"/>
  <c r="U126" i="3"/>
  <c r="V126" i="3"/>
  <c r="X126" i="3"/>
  <c r="Y126" i="3"/>
  <c r="R127" i="3"/>
  <c r="S127" i="3"/>
  <c r="T127" i="3"/>
  <c r="U127" i="3"/>
  <c r="V127" i="3"/>
  <c r="X127" i="3"/>
  <c r="Y127" i="3"/>
  <c r="R128" i="3"/>
  <c r="S128" i="3"/>
  <c r="T128" i="3"/>
  <c r="U128" i="3"/>
  <c r="V128" i="3"/>
  <c r="X128" i="3"/>
  <c r="Y128" i="3"/>
  <c r="R129" i="3"/>
  <c r="S129" i="3"/>
  <c r="T129" i="3"/>
  <c r="U129" i="3"/>
  <c r="V129" i="3"/>
  <c r="X129" i="3"/>
  <c r="Y129" i="3"/>
  <c r="R130" i="3"/>
  <c r="S130" i="3"/>
  <c r="T130" i="3"/>
  <c r="U130" i="3"/>
  <c r="V130" i="3"/>
  <c r="X130" i="3"/>
  <c r="Y130" i="3"/>
  <c r="R131" i="3"/>
  <c r="S131" i="3"/>
  <c r="T131" i="3"/>
  <c r="U131" i="3"/>
  <c r="V131" i="3"/>
  <c r="X131" i="3"/>
  <c r="Y131" i="3"/>
  <c r="R132" i="3"/>
  <c r="S132" i="3"/>
  <c r="T132" i="3"/>
  <c r="U132" i="3"/>
  <c r="V132" i="3"/>
  <c r="X132" i="3"/>
  <c r="Y132" i="3"/>
  <c r="R133" i="3"/>
  <c r="S133" i="3"/>
  <c r="T133" i="3"/>
  <c r="U133" i="3"/>
  <c r="V133" i="3"/>
  <c r="X133" i="3"/>
  <c r="Y133" i="3"/>
  <c r="R134" i="3"/>
  <c r="S134" i="3"/>
  <c r="T134" i="3"/>
  <c r="U134" i="3"/>
  <c r="V134" i="3"/>
  <c r="X134" i="3"/>
  <c r="Y134" i="3"/>
  <c r="R135" i="3"/>
  <c r="S135" i="3"/>
  <c r="T135" i="3"/>
  <c r="U135" i="3"/>
  <c r="V135" i="3"/>
  <c r="X135" i="3"/>
  <c r="Y135" i="3"/>
  <c r="R136" i="3"/>
  <c r="S136" i="3"/>
  <c r="T136" i="3"/>
  <c r="U136" i="3"/>
  <c r="V136" i="3"/>
  <c r="X136" i="3"/>
  <c r="Y136" i="3"/>
  <c r="R137" i="3"/>
  <c r="S137" i="3"/>
  <c r="T137" i="3"/>
  <c r="U137" i="3"/>
  <c r="V137" i="3"/>
  <c r="X137" i="3"/>
  <c r="Y137" i="3"/>
  <c r="R138" i="3"/>
  <c r="S138" i="3"/>
  <c r="T138" i="3"/>
  <c r="U138" i="3"/>
  <c r="V138" i="3"/>
  <c r="X138" i="3"/>
  <c r="Y138" i="3"/>
  <c r="R139" i="3"/>
  <c r="S139" i="3"/>
  <c r="T139" i="3"/>
  <c r="U139" i="3"/>
  <c r="V139" i="3"/>
  <c r="X139" i="3"/>
  <c r="Y139" i="3"/>
  <c r="R140" i="3"/>
  <c r="S140" i="3"/>
  <c r="T140" i="3"/>
  <c r="U140" i="3"/>
  <c r="V140" i="3"/>
  <c r="X140" i="3"/>
  <c r="Y140" i="3"/>
  <c r="R141" i="3"/>
  <c r="S141" i="3"/>
  <c r="T141" i="3"/>
  <c r="U141" i="3"/>
  <c r="V141" i="3"/>
  <c r="X141" i="3"/>
  <c r="Y141" i="3"/>
  <c r="R142" i="3"/>
  <c r="S142" i="3"/>
  <c r="T142" i="3"/>
  <c r="U142" i="3"/>
  <c r="V142" i="3"/>
  <c r="X142" i="3"/>
  <c r="Y142" i="3"/>
  <c r="R143" i="3"/>
  <c r="S143" i="3"/>
  <c r="T143" i="3"/>
  <c r="U143" i="3"/>
  <c r="V143" i="3"/>
  <c r="X143" i="3"/>
  <c r="Y143" i="3"/>
  <c r="R144" i="3"/>
  <c r="S144" i="3"/>
  <c r="T144" i="3"/>
  <c r="U144" i="3"/>
  <c r="V144" i="3"/>
  <c r="X144" i="3"/>
  <c r="Y144" i="3"/>
  <c r="R145" i="3"/>
  <c r="S145" i="3"/>
  <c r="T145" i="3"/>
  <c r="U145" i="3"/>
  <c r="V145" i="3"/>
  <c r="X145" i="3"/>
  <c r="Y145" i="3"/>
  <c r="R146" i="3"/>
  <c r="S146" i="3"/>
  <c r="T146" i="3"/>
  <c r="U146" i="3"/>
  <c r="V146" i="3"/>
  <c r="X146" i="3"/>
  <c r="Y146" i="3"/>
  <c r="R147" i="3"/>
  <c r="S147" i="3"/>
  <c r="T147" i="3"/>
  <c r="U147" i="3"/>
  <c r="V147" i="3"/>
  <c r="X147" i="3"/>
  <c r="Y147" i="3"/>
  <c r="R148" i="3"/>
  <c r="S148" i="3"/>
  <c r="T148" i="3"/>
  <c r="U148" i="3"/>
  <c r="V148" i="3"/>
  <c r="X148" i="3"/>
  <c r="Y148" i="3"/>
  <c r="R149" i="3"/>
  <c r="S149" i="3"/>
  <c r="T149" i="3"/>
  <c r="U149" i="3"/>
  <c r="V149" i="3"/>
  <c r="X149" i="3"/>
  <c r="Y149" i="3"/>
  <c r="R150" i="3"/>
  <c r="S150" i="3"/>
  <c r="T150" i="3"/>
  <c r="U150" i="3"/>
  <c r="V150" i="3"/>
  <c r="X150" i="3"/>
  <c r="Y150" i="3"/>
  <c r="R151" i="3"/>
  <c r="S151" i="3"/>
  <c r="T151" i="3"/>
  <c r="U151" i="3"/>
  <c r="V151" i="3"/>
  <c r="X151" i="3"/>
  <c r="Y151" i="3"/>
  <c r="R152" i="3"/>
  <c r="S152" i="3"/>
  <c r="T152" i="3"/>
  <c r="U152" i="3"/>
  <c r="V152" i="3"/>
  <c r="X152" i="3"/>
  <c r="Y152" i="3"/>
  <c r="R153" i="3"/>
  <c r="S153" i="3"/>
  <c r="T153" i="3"/>
  <c r="U153" i="3"/>
  <c r="V153" i="3"/>
  <c r="X153" i="3"/>
  <c r="Y153" i="3"/>
  <c r="R154" i="3"/>
  <c r="S154" i="3"/>
  <c r="T154" i="3"/>
  <c r="U154" i="3"/>
  <c r="V154" i="3"/>
  <c r="X154" i="3"/>
  <c r="Y154" i="3"/>
  <c r="R155" i="3"/>
  <c r="S155" i="3"/>
  <c r="T155" i="3"/>
  <c r="U155" i="3"/>
  <c r="V155" i="3"/>
  <c r="X155" i="3"/>
  <c r="Y155" i="3"/>
  <c r="R156" i="3"/>
  <c r="S156" i="3"/>
  <c r="T156" i="3"/>
  <c r="U156" i="3"/>
  <c r="V156" i="3"/>
  <c r="X156" i="3"/>
  <c r="Y156" i="3"/>
</calcChain>
</file>

<file path=xl/sharedStrings.xml><?xml version="1.0" encoding="utf-8"?>
<sst xmlns="http://schemas.openxmlformats.org/spreadsheetml/2006/main" count="350" uniqueCount="173">
  <si>
    <t>P11</t>
  </si>
  <si>
    <t>P117</t>
  </si>
  <si>
    <t>P76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</si>
  <si>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</si>
  <si>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</si>
  <si>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</si>
  <si>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</si>
  <si>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</si>
  <si>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</si>
  <si>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</si>
  <si>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</si>
  <si>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</si>
  <si>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</si>
  <si>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</si>
  <si>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</si>
  <si>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</si>
  <si>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</si>
  <si>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</si>
  <si>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</si>
  <si>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</si>
  <si>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</si>
  <si>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</si>
  <si>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</si>
  <si>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</si>
  <si>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</si>
  <si>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</si>
  <si>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</si>
  <si>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</si>
  <si>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</si>
  <si>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</si>
  <si>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</si>
  <si>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</si>
  <si>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</si>
  <si>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</si>
  <si>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</si>
  <si>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</si>
  <si>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</si>
  <si>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</si>
  <si>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</si>
  <si>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</si>
  <si>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</si>
  <si>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</si>
  <si>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</si>
  <si>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</si>
  <si>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</si>
  <si>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</si>
  <si>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</si>
  <si>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</si>
  <si>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</si>
  <si>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</si>
  <si>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</si>
  <si>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</si>
  <si>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</si>
  <si>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</si>
  <si>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</si>
  <si>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</si>
  <si>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</si>
  <si>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</si>
  <si>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</si>
  <si>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</si>
  <si>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</si>
  <si>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</si>
  <si>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</si>
  <si>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</si>
  <si>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</si>
  <si>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</si>
  <si>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</si>
  <si>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</si>
  <si>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</si>
  <si>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</si>
  <si>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</si>
  <si>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</si>
  <si>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</si>
  <si>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</si>
  <si>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</si>
  <si>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</si>
  <si>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</si>
  <si>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</si>
  <si>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</si>
  <si>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</si>
  <si>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</si>
  <si>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</si>
  <si>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</si>
  <si>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</si>
  <si>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</si>
  <si>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</si>
  <si>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</si>
  <si>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</si>
  <si>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</si>
  <si>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</si>
  <si>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</si>
  <si>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</si>
  <si>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</si>
  <si>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</si>
  <si>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</si>
  <si>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</si>
  <si>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</si>
  <si>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</si>
  <si>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</si>
  <si>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</si>
  <si>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</si>
  <si>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</si>
  <si>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</si>
  <si>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</si>
  <si>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</si>
  <si>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</si>
  <si>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</si>
  <si>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</si>
  <si>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</si>
  <si>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</si>
  <si>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</si>
  <si>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</si>
  <si>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</si>
  <si>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</si>
  <si>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</si>
  <si>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</si>
  <si>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</si>
  <si>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</si>
  <si>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</si>
  <si>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</si>
  <si>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</si>
  <si>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</si>
  <si>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</si>
  <si>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</si>
  <si>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</si>
  <si>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</si>
  <si>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</si>
  <si>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</si>
  <si>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</si>
  <si>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</si>
  <si>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</si>
  <si>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</si>
  <si>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</si>
  <si>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</si>
  <si>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</si>
  <si>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</si>
  <si>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</si>
  <si>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</si>
  <si>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</si>
  <si>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</si>
  <si>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</si>
  <si>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</si>
  <si>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</si>
  <si>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</si>
  <si>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</si>
  <si>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</si>
  <si>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</si>
  <si>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</si>
  <si>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</si>
  <si>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</si>
  <si>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</si>
  <si>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</si>
  <si>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</si>
  <si>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</si>
  <si>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</si>
  <si>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C1</t>
  </si>
  <si>
    <t>C2</t>
  </si>
  <si>
    <t>C3</t>
  </si>
  <si>
    <t>C4</t>
  </si>
  <si>
    <t>Cluster</t>
  </si>
  <si>
    <t>Distance:</t>
  </si>
  <si>
    <t>Patient/Feature</t>
  </si>
  <si>
    <t>F1</t>
  </si>
  <si>
    <t>F2</t>
  </si>
  <si>
    <t>F3</t>
  </si>
  <si>
    <t>F4</t>
  </si>
  <si>
    <t>F5</t>
  </si>
  <si>
    <t>F6</t>
  </si>
  <si>
    <t>F7</t>
  </si>
  <si>
    <t>k1</t>
  </si>
  <si>
    <t>Old Cluster</t>
  </si>
  <si>
    <t>Difference</t>
  </si>
  <si>
    <t>changes=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</si>
</sst>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6"/>
  <sheetViews>
    <sheetView tabSelected="1" topLeftCell="B1" workbookViewId="0">
      <selection activeCell="X20" sqref="X20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1" width="7" customWidth="1"/>
  </cols>
  <sheetData>
    <row r="1" spans="1:22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</row>
    <row r="2" spans="1:22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$V$2:$V$156, L$1), 0)</f>
        <v>-0.51546666659999996</v>
      </c>
      <c r="M2" s="3">
        <f ca="1">IFERROR(AVERAGEIFS(INDEX(AA, 0, $J2), $V$2:$V$156, M$1), 0)</f>
        <v>-0.19896845506557373</v>
      </c>
      <c r="N2" s="3">
        <f ca="1">IFERROR(AVERAGEIFS(INDEX(AA, 0, $J2), $V$2:$V$156, N$1), 0)</f>
        <v>0.66391666699999996</v>
      </c>
      <c r="O2" s="3">
        <f ca="1">IFERROR(AVERAGEIFS(INDEX(AA, 0, $J2), $V$2:$V$156, O$1), 0)</f>
        <v>-0.54682614939655183</v>
      </c>
      <c r="Q2" s="2"/>
      <c r="R2">
        <f ca="1">SQRT(SUMXMY2($B2:$H2,L$2:L$8))</f>
        <v>1.4285186197344977</v>
      </c>
      <c r="S2">
        <f t="shared" ref="S2:U2" ca="1" si="0">SQRT(SUMXMY2($B2:$H2,M$2:M$8))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1, MATCH(MIN(R2:U2), R2:U2,0))</f>
        <v>C2</v>
      </c>
    </row>
    <row r="3" spans="1:22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$V$2:$V$156, L$1), 0)</f>
        <v>1.951585714285714</v>
      </c>
      <c r="M3" s="3">
        <f ca="1">IFERROR(AVERAGEIFS(INDEX(AA, 0, $J3), $V$2:$V$156, M$1), 0)</f>
        <v>1.1575573770491807</v>
      </c>
      <c r="N3" s="3">
        <f ca="1">IFERROR(AVERAGEIFS(INDEX(AA, 0, $J3), $V$2:$V$156, N$1), 0)</f>
        <v>-0.76075000000000004</v>
      </c>
      <c r="O3" s="3">
        <f ca="1">IFERROR(AVERAGEIFS(INDEX(AA, 0, $J3), $V$2:$V$156, O$1), 0)</f>
        <v>1.0243577586206898</v>
      </c>
      <c r="Q3" s="2"/>
      <c r="R3">
        <f t="shared" ref="R3:R66" ca="1" si="1">SQRT(SUMXMY2($B3:$H3,L$2:L$8))</f>
        <v>1.9229425821594881</v>
      </c>
      <c r="S3">
        <f t="shared" ref="S3:S66" ca="1" si="2">SQRT(SUMXMY2($B3:$H3,M$2:M$8))</f>
        <v>0.88992067790829921</v>
      </c>
      <c r="T3">
        <f t="shared" ref="T3:T66" ca="1" si="3">SQRT(SUMXMY2($B3:$H3,N$2:N$8))</f>
        <v>2.6725897474571676</v>
      </c>
      <c r="U3">
        <f t="shared" ref="U3:U66" ca="1" si="4">SQRT(SUMXMY2($B3:$H3,O$2:O$8))</f>
        <v>1.6147509456214166</v>
      </c>
      <c r="V3" t="str">
        <f t="shared" ref="V3:V66" ca="1" si="5">INDEX($R$1:$U$1, 1, MATCH(MIN(R3:U3), R3:U3,0))</f>
        <v>C2</v>
      </c>
    </row>
    <row r="4" spans="1:22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$V$2:$V$156, L$1), 0)</f>
        <v>0.81170357142857141</v>
      </c>
      <c r="M4" s="3">
        <f ca="1">IFERROR(AVERAGEIFS(INDEX(AA, 0, $J4), $V$2:$V$156, M$1), 0)</f>
        <v>0.7994733606557376</v>
      </c>
      <c r="N4" s="3">
        <f ca="1">IFERROR(AVERAGEIFS(INDEX(AA, 0, $J4), $V$2:$V$156, N$1), 0)</f>
        <v>1.2355</v>
      </c>
      <c r="O4" s="3">
        <f ca="1">IFERROR(AVERAGEIFS(INDEX(AA, 0, $J4), $V$2:$V$156, O$1), 0)</f>
        <v>1.1077844827586205</v>
      </c>
      <c r="Q4" s="2"/>
      <c r="R4">
        <f t="shared" ca="1" si="1"/>
        <v>2.2934278683964266</v>
      </c>
      <c r="S4">
        <f t="shared" ca="1" si="2"/>
        <v>1.5111210252745957</v>
      </c>
      <c r="T4">
        <f t="shared" ca="1" si="3"/>
        <v>1.9905326705432393</v>
      </c>
      <c r="U4">
        <f t="shared" ca="1" si="4"/>
        <v>2.3109944389307553</v>
      </c>
      <c r="V4" t="str">
        <f t="shared" ca="1" si="5"/>
        <v>C2</v>
      </c>
    </row>
    <row r="5" spans="1:22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$V$2:$V$156, L$1), 0)</f>
        <v>-0.39815000000000011</v>
      </c>
      <c r="M5" s="3">
        <f ca="1">IFERROR(AVERAGEIFS(INDEX(AA, 0, $J5), $V$2:$V$156, M$1), 0)</f>
        <v>-1.4484221311475411</v>
      </c>
      <c r="N5" s="3">
        <f ca="1">IFERROR(AVERAGEIFS(INDEX(AA, 0, $J5), $V$2:$V$156, N$1), 0)</f>
        <v>-1.0117499999999999</v>
      </c>
      <c r="O5" s="3">
        <f ca="1">IFERROR(AVERAGEIFS(INDEX(AA, 0, $J5), $V$2:$V$156, O$1), 0)</f>
        <v>-2.0223017241379311</v>
      </c>
      <c r="Q5" s="2"/>
      <c r="R5">
        <f t="shared" ca="1" si="1"/>
        <v>2.4330011424404492</v>
      </c>
      <c r="S5">
        <f t="shared" ca="1" si="2"/>
        <v>2.8418165411657674</v>
      </c>
      <c r="T5">
        <f t="shared" ca="1" si="3"/>
        <v>4.3002681861217296</v>
      </c>
      <c r="U5">
        <f t="shared" ca="1" si="4"/>
        <v>4.0110214105676896</v>
      </c>
      <c r="V5" t="str">
        <f t="shared" ca="1" si="5"/>
        <v>C1</v>
      </c>
    </row>
    <row r="6" spans="1:22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$V$2:$V$156, L$1), 0)</f>
        <v>-1.5666666285714464E-3</v>
      </c>
      <c r="M6" s="3">
        <f ca="1">IFERROR(AVERAGEIFS(INDEX(AA, 0, $J6), $V$2:$V$156, M$1), 0)</f>
        <v>-7.7330601081967196E-2</v>
      </c>
      <c r="N6" s="3">
        <f ca="1">IFERROR(AVERAGEIFS(INDEX(AA, 0, $J6), $V$2:$V$156, N$1), 0)</f>
        <v>0.10716666699999999</v>
      </c>
      <c r="O6" s="3">
        <f ca="1">IFERROR(AVERAGEIFS(INDEX(AA, 0, $J6), $V$2:$V$156, O$1), 0)</f>
        <v>-1.0999942528103446</v>
      </c>
      <c r="Q6" s="2"/>
      <c r="R6">
        <f t="shared" ca="1" si="1"/>
        <v>2.373239128119577</v>
      </c>
      <c r="S6">
        <f t="shared" ca="1" si="2"/>
        <v>1.2256453647673315</v>
      </c>
      <c r="T6">
        <f t="shared" ca="1" si="3"/>
        <v>2.805235289335509</v>
      </c>
      <c r="U6">
        <f t="shared" ca="1" si="4"/>
        <v>1.7834666706898106</v>
      </c>
      <c r="V6" t="str">
        <f t="shared" ca="1" si="5"/>
        <v>C2</v>
      </c>
    </row>
    <row r="7" spans="1:22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$V$2:$V$156, L$1), 0)</f>
        <v>-2.3866976190571427</v>
      </c>
      <c r="M7" s="3">
        <f ca="1">IFERROR(AVERAGEIFS(INDEX(AA, 0, $J7), $V$2:$V$156, M$1), 0)</f>
        <v>-2.1923606557377044</v>
      </c>
      <c r="N7" s="3">
        <f ca="1">IFERROR(AVERAGEIFS(INDEX(AA, 0, $J7), $V$2:$V$156, N$1), 0)</f>
        <v>-1.3687499999999999</v>
      </c>
      <c r="O7" s="3">
        <f ca="1">IFERROR(AVERAGEIFS(INDEX(AA, 0, $J7), $V$2:$V$156, O$1), 0)</f>
        <v>-2.0776537356206899</v>
      </c>
      <c r="Q7" s="2"/>
      <c r="R7">
        <f t="shared" ca="1" si="1"/>
        <v>2.6317375296514123</v>
      </c>
      <c r="S7">
        <f t="shared" ca="1" si="2"/>
        <v>1.8346208500808381</v>
      </c>
      <c r="T7">
        <f t="shared" ca="1" si="3"/>
        <v>2.9104476251131119</v>
      </c>
      <c r="U7">
        <f t="shared" ca="1" si="4"/>
        <v>1.4985187781798797</v>
      </c>
      <c r="V7" t="str">
        <f t="shared" ca="1" si="5"/>
        <v>C4</v>
      </c>
    </row>
    <row r="8" spans="1:22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$V$2:$V$156, L$1), 0)</f>
        <v>-0.9275095238285711</v>
      </c>
      <c r="M8" s="3">
        <f ca="1">IFERROR(AVERAGEIFS(INDEX(AA, 0, $J8), $V$2:$V$156, M$1), 0)</f>
        <v>-0.4304590163606557</v>
      </c>
      <c r="N8" s="3">
        <f ca="1">IFERROR(AVERAGEIFS(INDEX(AA, 0, $J8), $V$2:$V$156, N$1), 0)</f>
        <v>0.83683333299999996</v>
      </c>
      <c r="O8" s="3">
        <f ca="1">IFERROR(AVERAGEIFS(INDEX(AA, 0, $J8), $V$2:$V$156, O$1), 0)</f>
        <v>-0.52254310351724143</v>
      </c>
      <c r="Q8" s="2"/>
      <c r="R8">
        <f t="shared" ca="1" si="1"/>
        <v>0.89327983789967047</v>
      </c>
      <c r="S8">
        <f t="shared" ca="1" si="2"/>
        <v>1.9760294763162445</v>
      </c>
      <c r="T8">
        <f t="shared" ca="1" si="3"/>
        <v>4.0064227353518804</v>
      </c>
      <c r="U8">
        <f t="shared" ca="1" si="4"/>
        <v>2.9120635226731659</v>
      </c>
      <c r="V8" t="str">
        <f t="shared" ca="1" si="5"/>
        <v>C1</v>
      </c>
    </row>
    <row r="9" spans="1:22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2"/>
        <v>1.5845501656759911</v>
      </c>
      <c r="T9">
        <f t="shared" ca="1" si="3"/>
        <v>2.5620215238955351</v>
      </c>
      <c r="U9">
        <f t="shared" ca="1" si="4"/>
        <v>2.5558967670787776</v>
      </c>
      <c r="V9" t="str">
        <f t="shared" ca="1" si="5"/>
        <v>C2</v>
      </c>
    </row>
    <row r="10" spans="1:22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2"/>
        <v>2.5699160872601361</v>
      </c>
      <c r="T10">
        <f t="shared" ca="1" si="3"/>
        <v>3.6468691842726244</v>
      </c>
      <c r="U10">
        <f t="shared" ca="1" si="4"/>
        <v>1.478994935740217</v>
      </c>
      <c r="V10" t="str">
        <f t="shared" ca="1" si="5"/>
        <v>C4</v>
      </c>
    </row>
    <row r="11" spans="1:22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2"/>
        <v>1.6537104518150072</v>
      </c>
      <c r="T11">
        <f t="shared" ca="1" si="3"/>
        <v>4.0091828016848741</v>
      </c>
      <c r="U11">
        <f t="shared" ca="1" si="4"/>
        <v>1.3937295041358932</v>
      </c>
      <c r="V11" t="str">
        <f t="shared" ca="1" si="5"/>
        <v>C4</v>
      </c>
    </row>
    <row r="12" spans="1:22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2"/>
        <v>1.8721210772127772</v>
      </c>
      <c r="T12">
        <f t="shared" ca="1" si="3"/>
        <v>3.2738873834253641</v>
      </c>
      <c r="U12">
        <f t="shared" ca="1" si="4"/>
        <v>0.98554980650669111</v>
      </c>
      <c r="V12" t="str">
        <f t="shared" ca="1" si="5"/>
        <v>C4</v>
      </c>
    </row>
    <row r="13" spans="1:22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2"/>
        <v>1.9182876841901484</v>
      </c>
      <c r="T13">
        <f t="shared" ca="1" si="3"/>
        <v>4.0979008334854132</v>
      </c>
      <c r="U13">
        <f t="shared" ca="1" si="4"/>
        <v>1.6052050200289179</v>
      </c>
      <c r="V13" t="str">
        <f t="shared" ca="1" si="5"/>
        <v>C4</v>
      </c>
    </row>
    <row r="14" spans="1:22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2"/>
        <v>0.7052723974602777</v>
      </c>
      <c r="T14">
        <f t="shared" ca="1" si="3"/>
        <v>2.078157377617623</v>
      </c>
      <c r="U14">
        <f t="shared" ca="1" si="4"/>
        <v>1.2956299284695971</v>
      </c>
      <c r="V14" t="str">
        <f t="shared" ca="1" si="5"/>
        <v>C2</v>
      </c>
    </row>
    <row r="15" spans="1:22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2"/>
        <v>1.3001742546123825</v>
      </c>
      <c r="T15">
        <f t="shared" ca="1" si="3"/>
        <v>3.4874791150163658</v>
      </c>
      <c r="U15">
        <f t="shared" ca="1" si="4"/>
        <v>1.1015600315646901</v>
      </c>
      <c r="V15" t="str">
        <f t="shared" ca="1" si="5"/>
        <v>C4</v>
      </c>
    </row>
    <row r="16" spans="1:22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2"/>
        <v>2.2659993256040782</v>
      </c>
      <c r="T16">
        <f t="shared" ca="1" si="3"/>
        <v>4.1704940794900365</v>
      </c>
      <c r="U16">
        <f t="shared" ca="1" si="4"/>
        <v>1.5576366272188</v>
      </c>
      <c r="V16" t="str">
        <f t="shared" ca="1" si="5"/>
        <v>C4</v>
      </c>
    </row>
    <row r="17" spans="1:22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2"/>
        <v>1.9306585385173312</v>
      </c>
      <c r="T17">
        <f t="shared" ca="1" si="3"/>
        <v>3.6658857979657524</v>
      </c>
      <c r="U17">
        <f t="shared" ca="1" si="4"/>
        <v>1.1631286720808858</v>
      </c>
      <c r="V17" t="str">
        <f t="shared" ca="1" si="5"/>
        <v>C4</v>
      </c>
    </row>
    <row r="18" spans="1:22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2"/>
        <v>2.0543449885998974</v>
      </c>
      <c r="T18">
        <f t="shared" ca="1" si="3"/>
        <v>3.1169101361854423</v>
      </c>
      <c r="U18">
        <f t="shared" ca="1" si="4"/>
        <v>1.2628567532098922</v>
      </c>
      <c r="V18" t="str">
        <f t="shared" ca="1" si="5"/>
        <v>C4</v>
      </c>
    </row>
    <row r="19" spans="1:22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2"/>
        <v>2.3265958978569379</v>
      </c>
      <c r="T19">
        <f t="shared" ca="1" si="3"/>
        <v>3.9203241155625843</v>
      </c>
      <c r="U19">
        <f t="shared" ca="1" si="4"/>
        <v>1.2516867065340842</v>
      </c>
      <c r="V19" t="str">
        <f t="shared" ca="1" si="5"/>
        <v>C4</v>
      </c>
    </row>
    <row r="20" spans="1:22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2"/>
        <v>1.7207840613589085</v>
      </c>
      <c r="T20">
        <f t="shared" ca="1" si="3"/>
        <v>2.6340415294509985</v>
      </c>
      <c r="U20">
        <f t="shared" ca="1" si="4"/>
        <v>0.98530360979158726</v>
      </c>
      <c r="V20" t="str">
        <f t="shared" ca="1" si="5"/>
        <v>C4</v>
      </c>
    </row>
    <row r="21" spans="1:22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2"/>
        <v>1.514923207792912</v>
      </c>
      <c r="T21">
        <f t="shared" ca="1" si="3"/>
        <v>2.7663935586330526</v>
      </c>
      <c r="U21">
        <f t="shared" ca="1" si="4"/>
        <v>1.3294314112997352</v>
      </c>
      <c r="V21" t="str">
        <f t="shared" ca="1" si="5"/>
        <v>C4</v>
      </c>
    </row>
    <row r="22" spans="1:22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2"/>
        <v>1.8975247871539302</v>
      </c>
      <c r="T22">
        <f t="shared" ca="1" si="3"/>
        <v>3.2025738329629934</v>
      </c>
      <c r="U22">
        <f t="shared" ca="1" si="4"/>
        <v>2.5486209277696608</v>
      </c>
      <c r="V22" t="str">
        <f t="shared" ca="1" si="5"/>
        <v>C1</v>
      </c>
    </row>
    <row r="23" spans="1:22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2"/>
        <v>1.8449047497094955</v>
      </c>
      <c r="T23">
        <f t="shared" ca="1" si="3"/>
        <v>2.4698127054140722</v>
      </c>
      <c r="U23">
        <f t="shared" ca="1" si="4"/>
        <v>1.4806854930694537</v>
      </c>
      <c r="V23" t="str">
        <f t="shared" ca="1" si="5"/>
        <v>C4</v>
      </c>
    </row>
    <row r="24" spans="1:22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2"/>
        <v>0.70567612775573907</v>
      </c>
      <c r="T24">
        <f t="shared" ca="1" si="3"/>
        <v>2.6350154625182518</v>
      </c>
      <c r="U24">
        <f t="shared" ca="1" si="4"/>
        <v>0.99928547687971803</v>
      </c>
      <c r="V24" t="str">
        <f t="shared" ca="1" si="5"/>
        <v>C2</v>
      </c>
    </row>
    <row r="25" spans="1:22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2"/>
        <v>1.398889596555259</v>
      </c>
      <c r="T25">
        <f t="shared" ca="1" si="3"/>
        <v>3.2660636516301835</v>
      </c>
      <c r="U25">
        <f t="shared" ca="1" si="4"/>
        <v>1.2175930293733082</v>
      </c>
      <c r="V25" t="str">
        <f t="shared" ca="1" si="5"/>
        <v>C4</v>
      </c>
    </row>
    <row r="26" spans="1:22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2"/>
        <v>1.7623161106413503</v>
      </c>
      <c r="T26">
        <f t="shared" ca="1" si="3"/>
        <v>2.3623471220282761</v>
      </c>
      <c r="U26">
        <f t="shared" ca="1" si="4"/>
        <v>1.1418930173013606</v>
      </c>
      <c r="V26" t="str">
        <f t="shared" ca="1" si="5"/>
        <v>C4</v>
      </c>
    </row>
    <row r="27" spans="1:22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2"/>
        <v>1.5842679354183664</v>
      </c>
      <c r="T27">
        <f t="shared" ca="1" si="3"/>
        <v>3.5490383040070324</v>
      </c>
      <c r="U27">
        <f t="shared" ca="1" si="4"/>
        <v>0.96713248187327483</v>
      </c>
      <c r="V27" t="str">
        <f t="shared" ca="1" si="5"/>
        <v>C4</v>
      </c>
    </row>
    <row r="28" spans="1:22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2"/>
        <v>0.92406393632511585</v>
      </c>
      <c r="T28">
        <f t="shared" ca="1" si="3"/>
        <v>2.8074581678467525</v>
      </c>
      <c r="U28">
        <f t="shared" ca="1" si="4"/>
        <v>1.3734129687076206</v>
      </c>
      <c r="V28" t="str">
        <f t="shared" ca="1" si="5"/>
        <v>C2</v>
      </c>
    </row>
    <row r="29" spans="1:22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2"/>
        <v>0.83671368441852678</v>
      </c>
      <c r="T29">
        <f t="shared" ca="1" si="3"/>
        <v>2.8515881648859001</v>
      </c>
      <c r="U29">
        <f t="shared" ca="1" si="4"/>
        <v>0.68376512406485135</v>
      </c>
      <c r="V29" t="str">
        <f t="shared" ca="1" si="5"/>
        <v>C4</v>
      </c>
    </row>
    <row r="30" spans="1:22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2"/>
        <v>2.7942329792491747</v>
      </c>
      <c r="T30">
        <f t="shared" ca="1" si="3"/>
        <v>3.7367748248667447</v>
      </c>
      <c r="U30">
        <f t="shared" ca="1" si="4"/>
        <v>2.0696214927029657</v>
      </c>
      <c r="V30" t="str">
        <f t="shared" ca="1" si="5"/>
        <v>C4</v>
      </c>
    </row>
    <row r="31" spans="1:22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2"/>
        <v>1.6812899996322339</v>
      </c>
      <c r="T31">
        <f t="shared" ca="1" si="3"/>
        <v>2.7230403637249747</v>
      </c>
      <c r="U31">
        <f t="shared" ca="1" si="4"/>
        <v>0.89604382543770278</v>
      </c>
      <c r="V31" t="str">
        <f t="shared" ca="1" si="5"/>
        <v>C4</v>
      </c>
    </row>
    <row r="32" spans="1:22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2"/>
        <v>1.6477283517107726</v>
      </c>
      <c r="T32">
        <f t="shared" ca="1" si="3"/>
        <v>4.1060863759815138</v>
      </c>
      <c r="U32">
        <f t="shared" ca="1" si="4"/>
        <v>1.8529810506909552</v>
      </c>
      <c r="V32" t="str">
        <f t="shared" ca="1" si="5"/>
        <v>C2</v>
      </c>
    </row>
    <row r="33" spans="1:22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2"/>
        <v>1.5650172810972132</v>
      </c>
      <c r="T33">
        <f t="shared" ca="1" si="3"/>
        <v>2.7731247969909325</v>
      </c>
      <c r="U33">
        <f t="shared" ca="1" si="4"/>
        <v>2.7046045693240637</v>
      </c>
      <c r="V33" t="str">
        <f t="shared" ca="1" si="5"/>
        <v>C2</v>
      </c>
    </row>
    <row r="34" spans="1:22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2"/>
        <v>1.0409649320523853</v>
      </c>
      <c r="T34">
        <f t="shared" ca="1" si="3"/>
        <v>2.5198872716594996</v>
      </c>
      <c r="U34">
        <f t="shared" ca="1" si="4"/>
        <v>1.2046651169895564</v>
      </c>
      <c r="V34" t="str">
        <f t="shared" ca="1" si="5"/>
        <v>C2</v>
      </c>
    </row>
    <row r="35" spans="1:22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2"/>
        <v>2.4904048186446976</v>
      </c>
      <c r="T35">
        <f t="shared" ca="1" si="3"/>
        <v>3.5047913070455183</v>
      </c>
      <c r="U35">
        <f t="shared" ca="1" si="4"/>
        <v>2.0443527776499177</v>
      </c>
      <c r="V35" t="str">
        <f t="shared" ca="1" si="5"/>
        <v>C4</v>
      </c>
    </row>
    <row r="36" spans="1:22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2"/>
        <v>1.5224413695564831</v>
      </c>
      <c r="T36">
        <f t="shared" ca="1" si="3"/>
        <v>3.8876148903418706</v>
      </c>
      <c r="U36">
        <f t="shared" ca="1" si="4"/>
        <v>2.0822732178830754</v>
      </c>
      <c r="V36" t="str">
        <f t="shared" ca="1" si="5"/>
        <v>C1</v>
      </c>
    </row>
    <row r="37" spans="1:22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2"/>
        <v>2.3070467315709031</v>
      </c>
      <c r="T37">
        <f t="shared" ca="1" si="3"/>
        <v>4.589072210233204</v>
      </c>
      <c r="U37">
        <f t="shared" ca="1" si="4"/>
        <v>2.4810862037886281</v>
      </c>
      <c r="V37" t="str">
        <f t="shared" ca="1" si="5"/>
        <v>C1</v>
      </c>
    </row>
    <row r="38" spans="1:22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2"/>
        <v>2.2047763815522576</v>
      </c>
      <c r="T38">
        <f t="shared" ca="1" si="3"/>
        <v>4.0852686468488084</v>
      </c>
      <c r="U38">
        <f t="shared" ca="1" si="4"/>
        <v>2.9113489186655452</v>
      </c>
      <c r="V38" t="str">
        <f t="shared" ca="1" si="5"/>
        <v>C1</v>
      </c>
    </row>
    <row r="39" spans="1:22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2"/>
        <v>2.0788435564662087</v>
      </c>
      <c r="T39">
        <f t="shared" ca="1" si="3"/>
        <v>2.6262670989448123</v>
      </c>
      <c r="U39">
        <f t="shared" ca="1" si="4"/>
        <v>1.7564015984724966</v>
      </c>
      <c r="V39" t="str">
        <f t="shared" ca="1" si="5"/>
        <v>C4</v>
      </c>
    </row>
    <row r="40" spans="1:22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2"/>
        <v>2.8149088753369136</v>
      </c>
      <c r="T40">
        <f t="shared" ca="1" si="3"/>
        <v>3.3223869893692144</v>
      </c>
      <c r="U40">
        <f t="shared" ca="1" si="4"/>
        <v>1.8575907949435475</v>
      </c>
      <c r="V40" t="str">
        <f t="shared" ca="1" si="5"/>
        <v>C4</v>
      </c>
    </row>
    <row r="41" spans="1:22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2"/>
        <v>1.2793150409959435</v>
      </c>
      <c r="T41">
        <f t="shared" ca="1" si="3"/>
        <v>2.5512408273633134</v>
      </c>
      <c r="U41">
        <f t="shared" ca="1" si="4"/>
        <v>1.3967689997776922</v>
      </c>
      <c r="V41" t="str">
        <f t="shared" ca="1" si="5"/>
        <v>C2</v>
      </c>
    </row>
    <row r="42" spans="1:22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2"/>
        <v>1.5352870568109807</v>
      </c>
      <c r="T42">
        <f t="shared" ca="1" si="3"/>
        <v>3.3678508511590231</v>
      </c>
      <c r="U42">
        <f t="shared" ca="1" si="4"/>
        <v>2.4034874819631584</v>
      </c>
      <c r="V42" t="str">
        <f t="shared" ca="1" si="5"/>
        <v>C1</v>
      </c>
    </row>
    <row r="43" spans="1:22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2"/>
        <v>2.821855441484431</v>
      </c>
      <c r="T43">
        <f t="shared" ca="1" si="3"/>
        <v>4.3149740142277153</v>
      </c>
      <c r="U43">
        <f t="shared" ca="1" si="4"/>
        <v>3.0446500035339006</v>
      </c>
      <c r="V43" t="str">
        <f t="shared" ca="1" si="5"/>
        <v>C1</v>
      </c>
    </row>
    <row r="44" spans="1:22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2"/>
        <v>2.5795422239572106</v>
      </c>
      <c r="T44">
        <f t="shared" ca="1" si="3"/>
        <v>4.3827313734570685</v>
      </c>
      <c r="U44">
        <f t="shared" ca="1" si="4"/>
        <v>2.7507980373220775</v>
      </c>
      <c r="V44" t="str">
        <f t="shared" ca="1" si="5"/>
        <v>C1</v>
      </c>
    </row>
    <row r="45" spans="1:22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2"/>
        <v>2.043763431273899</v>
      </c>
      <c r="T45">
        <f t="shared" ca="1" si="3"/>
        <v>4.185274620018685</v>
      </c>
      <c r="U45">
        <f t="shared" ca="1" si="4"/>
        <v>1.8570034735128513</v>
      </c>
      <c r="V45" t="str">
        <f t="shared" ca="1" si="5"/>
        <v>C1</v>
      </c>
    </row>
    <row r="46" spans="1:22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2"/>
        <v>1.166792445236889</v>
      </c>
      <c r="T46">
        <f t="shared" ca="1" si="3"/>
        <v>3.3662611306908441</v>
      </c>
      <c r="U46">
        <f t="shared" ca="1" si="4"/>
        <v>1.4459085794403661</v>
      </c>
      <c r="V46" t="str">
        <f t="shared" ca="1" si="5"/>
        <v>C2</v>
      </c>
    </row>
    <row r="47" spans="1:22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2"/>
        <v>2.2880620193117149</v>
      </c>
      <c r="T47">
        <f t="shared" ca="1" si="3"/>
        <v>3.0802804902105732</v>
      </c>
      <c r="U47">
        <f t="shared" ca="1" si="4"/>
        <v>1.5286950772957186</v>
      </c>
      <c r="V47" t="str">
        <f t="shared" ca="1" si="5"/>
        <v>C4</v>
      </c>
    </row>
    <row r="48" spans="1:22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2"/>
        <v>0.65011945258090276</v>
      </c>
      <c r="T48">
        <f t="shared" ca="1" si="3"/>
        <v>2.5929330040195793</v>
      </c>
      <c r="U48">
        <f t="shared" ca="1" si="4"/>
        <v>1.4237879614395628</v>
      </c>
      <c r="V48" t="str">
        <f t="shared" ca="1" si="5"/>
        <v>C2</v>
      </c>
    </row>
    <row r="49" spans="1:22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2"/>
        <v>0.72162207877413631</v>
      </c>
      <c r="T49">
        <f t="shared" ca="1" si="3"/>
        <v>2.9764523837155346</v>
      </c>
      <c r="U49">
        <f t="shared" ca="1" si="4"/>
        <v>1.1099719664439358</v>
      </c>
      <c r="V49" t="str">
        <f t="shared" ca="1" si="5"/>
        <v>C2</v>
      </c>
    </row>
    <row r="50" spans="1:22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2"/>
        <v>2.237234668346717</v>
      </c>
      <c r="T50">
        <f t="shared" ca="1" si="3"/>
        <v>3.8182303372344863</v>
      </c>
      <c r="U50">
        <f t="shared" ca="1" si="4"/>
        <v>3.2792760385139186</v>
      </c>
      <c r="V50" t="str">
        <f t="shared" ca="1" si="5"/>
        <v>C1</v>
      </c>
    </row>
    <row r="51" spans="1:22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2"/>
        <v>0.87966057146560483</v>
      </c>
      <c r="T51">
        <f t="shared" ca="1" si="3"/>
        <v>3.4535615835134448</v>
      </c>
      <c r="U51">
        <f t="shared" ca="1" si="4"/>
        <v>1.6456821201510281</v>
      </c>
      <c r="V51" t="str">
        <f t="shared" ca="1" si="5"/>
        <v>C2</v>
      </c>
    </row>
    <row r="52" spans="1:22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2"/>
        <v>1.2935418715238935</v>
      </c>
      <c r="T52">
        <f t="shared" ca="1" si="3"/>
        <v>3.6202601275014987</v>
      </c>
      <c r="U52">
        <f t="shared" ca="1" si="4"/>
        <v>1.755785219875672</v>
      </c>
      <c r="V52" t="str">
        <f t="shared" ca="1" si="5"/>
        <v>C2</v>
      </c>
    </row>
    <row r="53" spans="1:22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2"/>
        <v>1.0221004535054958</v>
      </c>
      <c r="T53">
        <f t="shared" ca="1" si="3"/>
        <v>2.3705683863274225</v>
      </c>
      <c r="U53">
        <f t="shared" ca="1" si="4"/>
        <v>1.0361401058146593</v>
      </c>
      <c r="V53" t="str">
        <f t="shared" ca="1" si="5"/>
        <v>C2</v>
      </c>
    </row>
    <row r="54" spans="1:22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2"/>
        <v>2.4647213946193189</v>
      </c>
      <c r="T54">
        <f t="shared" ca="1" si="3"/>
        <v>4.6160517177810503</v>
      </c>
      <c r="U54">
        <f t="shared" ca="1" si="4"/>
        <v>1.8648919129680435</v>
      </c>
      <c r="V54" t="str">
        <f t="shared" ca="1" si="5"/>
        <v>C4</v>
      </c>
    </row>
    <row r="55" spans="1:22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2"/>
        <v>1.0393399788086368</v>
      </c>
      <c r="T55">
        <f t="shared" ca="1" si="3"/>
        <v>2.6700144080563808</v>
      </c>
      <c r="U55">
        <f t="shared" ca="1" si="4"/>
        <v>1.1345754480748895</v>
      </c>
      <c r="V55" t="str">
        <f t="shared" ca="1" si="5"/>
        <v>C2</v>
      </c>
    </row>
    <row r="56" spans="1:22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2"/>
        <v>1.7805638196185487</v>
      </c>
      <c r="T56">
        <f t="shared" ca="1" si="3"/>
        <v>3.1763804327533549</v>
      </c>
      <c r="U56">
        <f t="shared" ca="1" si="4"/>
        <v>1.113539429929111</v>
      </c>
      <c r="V56" t="str">
        <f t="shared" ca="1" si="5"/>
        <v>C4</v>
      </c>
    </row>
    <row r="57" spans="1:22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2"/>
        <v>2.4548492750696722</v>
      </c>
      <c r="T57">
        <f t="shared" ca="1" si="3"/>
        <v>3.9149960093217064</v>
      </c>
      <c r="U57">
        <f t="shared" ca="1" si="4"/>
        <v>2.0390376813380091</v>
      </c>
      <c r="V57" t="str">
        <f t="shared" ca="1" si="5"/>
        <v>C4</v>
      </c>
    </row>
    <row r="58" spans="1:22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2"/>
        <v>1.3629583969753136</v>
      </c>
      <c r="T58">
        <f t="shared" ca="1" si="3"/>
        <v>2.7761313981531028</v>
      </c>
      <c r="U58">
        <f t="shared" ca="1" si="4"/>
        <v>2.5497251635592404</v>
      </c>
      <c r="V58" t="str">
        <f t="shared" ca="1" si="5"/>
        <v>C2</v>
      </c>
    </row>
    <row r="59" spans="1:22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2"/>
        <v>1.7074642144496051</v>
      </c>
      <c r="T59">
        <f t="shared" ca="1" si="3"/>
        <v>3.3121716754458594</v>
      </c>
      <c r="U59">
        <f t="shared" ca="1" si="4"/>
        <v>2.584391932488042</v>
      </c>
      <c r="V59" t="str">
        <f t="shared" ca="1" si="5"/>
        <v>C2</v>
      </c>
    </row>
    <row r="60" spans="1:22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2"/>
        <v>1.2208550575458113</v>
      </c>
      <c r="T60">
        <f t="shared" ca="1" si="3"/>
        <v>2.220822732807846</v>
      </c>
      <c r="U60">
        <f t="shared" ca="1" si="4"/>
        <v>2.0929474321269219</v>
      </c>
      <c r="V60" t="str">
        <f t="shared" ca="1" si="5"/>
        <v>C2</v>
      </c>
    </row>
    <row r="61" spans="1:22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2"/>
        <v>1.3461036413159329</v>
      </c>
      <c r="T61">
        <f t="shared" ca="1" si="3"/>
        <v>2.3366437130875939</v>
      </c>
      <c r="U61">
        <f t="shared" ca="1" si="4"/>
        <v>1.153669703123215</v>
      </c>
      <c r="V61" t="str">
        <f t="shared" ca="1" si="5"/>
        <v>C4</v>
      </c>
    </row>
    <row r="62" spans="1:22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2"/>
        <v>2.6690221730035635</v>
      </c>
      <c r="T62">
        <f t="shared" ca="1" si="3"/>
        <v>0</v>
      </c>
      <c r="U62">
        <f t="shared" ca="1" si="4"/>
        <v>3.08183714798473</v>
      </c>
      <c r="V62" t="str">
        <f t="shared" ca="1" si="5"/>
        <v>C3</v>
      </c>
    </row>
    <row r="63" spans="1:22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2"/>
        <v>2.6851343792969553</v>
      </c>
      <c r="T63">
        <f t="shared" ca="1" si="3"/>
        <v>3.2376540743961084</v>
      </c>
      <c r="U63">
        <f t="shared" ca="1" si="4"/>
        <v>1.9516614164155655</v>
      </c>
      <c r="V63" t="str">
        <f t="shared" ca="1" si="5"/>
        <v>C4</v>
      </c>
    </row>
    <row r="64" spans="1:22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2"/>
        <v>1.2978727374105874</v>
      </c>
      <c r="T64">
        <f t="shared" ca="1" si="3"/>
        <v>2.1923906968883182</v>
      </c>
      <c r="U64">
        <f t="shared" ca="1" si="4"/>
        <v>1.3885383161907272</v>
      </c>
      <c r="V64" t="str">
        <f t="shared" ca="1" si="5"/>
        <v>C2</v>
      </c>
    </row>
    <row r="65" spans="1:22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2"/>
        <v>1.4406890944546911</v>
      </c>
      <c r="T65">
        <f t="shared" ca="1" si="3"/>
        <v>3.2432748645491452</v>
      </c>
      <c r="U65">
        <f t="shared" ca="1" si="4"/>
        <v>1.803482585848295</v>
      </c>
      <c r="V65" t="str">
        <f t="shared" ca="1" si="5"/>
        <v>C2</v>
      </c>
    </row>
    <row r="66" spans="1:22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2"/>
        <v>2.0733003113070856</v>
      </c>
      <c r="T66">
        <f t="shared" ca="1" si="3"/>
        <v>4.4480092140123144</v>
      </c>
      <c r="U66">
        <f t="shared" ca="1" si="4"/>
        <v>1.9066970296064072</v>
      </c>
      <c r="V66" t="str">
        <f t="shared" ca="1" si="5"/>
        <v>C1</v>
      </c>
    </row>
    <row r="67" spans="1:22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R130" ca="1" si="6">SQRT(SUMXMY2($B67:$H67,L$2:L$8))</f>
        <v>1.6667091575912953</v>
      </c>
      <c r="S67">
        <f t="shared" ref="S67:S130" ca="1" si="7">SQRT(SUMXMY2($B67:$H67,M$2:M$8))</f>
        <v>1.0775726328476134</v>
      </c>
      <c r="T67">
        <f t="shared" ref="T67:T130" ca="1" si="8">SQRT(SUMXMY2($B67:$H67,N$2:N$8))</f>
        <v>3.101467490792428</v>
      </c>
      <c r="U67">
        <f t="shared" ref="U67:U130" ca="1" si="9">SQRT(SUMXMY2($B67:$H67,O$2:O$8))</f>
        <v>1.3090427101334332</v>
      </c>
      <c r="V67" t="str">
        <f t="shared" ref="V67:V130" ca="1" si="10">INDEX($R$1:$U$1, 1, MATCH(MIN(R67:U67), R67:U67,0))</f>
        <v>C2</v>
      </c>
    </row>
    <row r="68" spans="1:22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6"/>
        <v>1.7578519956038381</v>
      </c>
      <c r="S68">
        <f t="shared" ca="1" si="7"/>
        <v>1.6729035248732134</v>
      </c>
      <c r="T68">
        <f t="shared" ca="1" si="8"/>
        <v>3.5269406872022167</v>
      </c>
      <c r="U68">
        <f t="shared" ca="1" si="9"/>
        <v>1.4390968686608725</v>
      </c>
      <c r="V68" t="str">
        <f t="shared" ca="1" si="10"/>
        <v>C4</v>
      </c>
    </row>
    <row r="69" spans="1:22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6"/>
        <v>1.2924697413129964</v>
      </c>
      <c r="S69">
        <f t="shared" ca="1" si="7"/>
        <v>1.4428051025496218</v>
      </c>
      <c r="T69">
        <f t="shared" ca="1" si="8"/>
        <v>3.8785346068001565</v>
      </c>
      <c r="U69">
        <f t="shared" ca="1" si="9"/>
        <v>1.5426773093836974</v>
      </c>
      <c r="V69" t="str">
        <f t="shared" ca="1" si="10"/>
        <v>C1</v>
      </c>
    </row>
    <row r="70" spans="1:22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6"/>
        <v>2.3375222665853155</v>
      </c>
      <c r="S70">
        <f t="shared" ca="1" si="7"/>
        <v>1.0364583415773658</v>
      </c>
      <c r="T70">
        <f t="shared" ca="1" si="8"/>
        <v>2.8292880596028827</v>
      </c>
      <c r="U70">
        <f t="shared" ca="1" si="9"/>
        <v>0.78101996608056368</v>
      </c>
      <c r="V70" t="str">
        <f t="shared" ca="1" si="10"/>
        <v>C4</v>
      </c>
    </row>
    <row r="71" spans="1:22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6"/>
        <v>1.0991666892209921</v>
      </c>
      <c r="S71">
        <f t="shared" ca="1" si="7"/>
        <v>0.47756783370027639</v>
      </c>
      <c r="T71">
        <f t="shared" ca="1" si="8"/>
        <v>2.9810112160441467</v>
      </c>
      <c r="U71">
        <f t="shared" ca="1" si="9"/>
        <v>1.4453097558191377</v>
      </c>
      <c r="V71" t="str">
        <f t="shared" ca="1" si="10"/>
        <v>C2</v>
      </c>
    </row>
    <row r="72" spans="1:22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6"/>
        <v>2.1035947741037901</v>
      </c>
      <c r="S72">
        <f t="shared" ca="1" si="7"/>
        <v>0.72071261197455905</v>
      </c>
      <c r="T72">
        <f t="shared" ca="1" si="8"/>
        <v>2.2250598028293282</v>
      </c>
      <c r="U72">
        <f t="shared" ca="1" si="9"/>
        <v>1.2196434358354404</v>
      </c>
      <c r="V72" t="str">
        <f t="shared" ca="1" si="10"/>
        <v>C2</v>
      </c>
    </row>
    <row r="73" spans="1:22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6"/>
        <v>2.622706304775448</v>
      </c>
      <c r="S73">
        <f t="shared" ca="1" si="7"/>
        <v>1.5780040846212675</v>
      </c>
      <c r="T73">
        <f t="shared" ca="1" si="8"/>
        <v>3.2520143045145371</v>
      </c>
      <c r="U73">
        <f t="shared" ca="1" si="9"/>
        <v>0.88053936736204264</v>
      </c>
      <c r="V73" t="str">
        <f t="shared" ca="1" si="10"/>
        <v>C4</v>
      </c>
    </row>
    <row r="74" spans="1:22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6"/>
        <v>1.5943283513898803</v>
      </c>
      <c r="S74">
        <f t="shared" ca="1" si="7"/>
        <v>1.4079073262201991</v>
      </c>
      <c r="T74">
        <f t="shared" ca="1" si="8"/>
        <v>3.4693766145386662</v>
      </c>
      <c r="U74">
        <f t="shared" ca="1" si="9"/>
        <v>1.3659025086813845</v>
      </c>
      <c r="V74" t="str">
        <f t="shared" ca="1" si="10"/>
        <v>C4</v>
      </c>
    </row>
    <row r="75" spans="1:22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6"/>
        <v>1.6450345153964292</v>
      </c>
      <c r="S75">
        <f t="shared" ca="1" si="7"/>
        <v>2.5543379534652533</v>
      </c>
      <c r="T75">
        <f t="shared" ca="1" si="8"/>
        <v>3.648013074146665</v>
      </c>
      <c r="U75">
        <f t="shared" ca="1" si="9"/>
        <v>3.5154578341459475</v>
      </c>
      <c r="V75" t="str">
        <f t="shared" ca="1" si="10"/>
        <v>C1</v>
      </c>
    </row>
    <row r="76" spans="1:22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6"/>
        <v>1.8690835145264832</v>
      </c>
      <c r="S76">
        <f t="shared" ca="1" si="7"/>
        <v>0.79155855902532568</v>
      </c>
      <c r="T76">
        <f t="shared" ca="1" si="8"/>
        <v>2.9114232407055951</v>
      </c>
      <c r="U76">
        <f t="shared" ca="1" si="9"/>
        <v>1.334078914242536</v>
      </c>
      <c r="V76" t="str">
        <f t="shared" ca="1" si="10"/>
        <v>C2</v>
      </c>
    </row>
    <row r="77" spans="1:22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6"/>
        <v>3.0315332291213934</v>
      </c>
      <c r="S77">
        <f t="shared" ca="1" si="7"/>
        <v>1.9590308049906109</v>
      </c>
      <c r="T77">
        <f t="shared" ca="1" si="8"/>
        <v>3.2517492912102628</v>
      </c>
      <c r="U77">
        <f t="shared" ca="1" si="9"/>
        <v>0.93746982107354349</v>
      </c>
      <c r="V77" t="str">
        <f t="shared" ca="1" si="10"/>
        <v>C4</v>
      </c>
    </row>
    <row r="78" spans="1:22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6"/>
        <v>1.5410938094062008</v>
      </c>
      <c r="S78">
        <f t="shared" ca="1" si="7"/>
        <v>1.7359841784379089</v>
      </c>
      <c r="T78">
        <f t="shared" ca="1" si="8"/>
        <v>3.6478608134563832</v>
      </c>
      <c r="U78">
        <f t="shared" ca="1" si="9"/>
        <v>2.8822408053329864</v>
      </c>
      <c r="V78" t="str">
        <f t="shared" ca="1" si="10"/>
        <v>C1</v>
      </c>
    </row>
    <row r="79" spans="1:22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6"/>
        <v>1.1590969827628079</v>
      </c>
      <c r="S79">
        <f t="shared" ca="1" si="7"/>
        <v>1.105525917001229</v>
      </c>
      <c r="T79">
        <f t="shared" ca="1" si="8"/>
        <v>3.2006945981710491</v>
      </c>
      <c r="U79">
        <f t="shared" ca="1" si="9"/>
        <v>2.0693302412609818</v>
      </c>
      <c r="V79" t="str">
        <f t="shared" ca="1" si="10"/>
        <v>C2</v>
      </c>
    </row>
    <row r="80" spans="1:22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6"/>
        <v>2.7854623202012019</v>
      </c>
      <c r="S80">
        <f t="shared" ca="1" si="7"/>
        <v>1.7137848547637342</v>
      </c>
      <c r="T80">
        <f t="shared" ca="1" si="8"/>
        <v>2.9743879484070148</v>
      </c>
      <c r="U80">
        <f t="shared" ca="1" si="9"/>
        <v>1.0197584199039729</v>
      </c>
      <c r="V80" t="str">
        <f t="shared" ca="1" si="10"/>
        <v>C4</v>
      </c>
    </row>
    <row r="81" spans="1:22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6"/>
        <v>2.0050439711390791</v>
      </c>
      <c r="S81">
        <f t="shared" ca="1" si="7"/>
        <v>1.1828433225498631</v>
      </c>
      <c r="T81">
        <f t="shared" ca="1" si="8"/>
        <v>3.2528066804667999</v>
      </c>
      <c r="U81">
        <f t="shared" ca="1" si="9"/>
        <v>0.61870203572209215</v>
      </c>
      <c r="V81" t="str">
        <f t="shared" ca="1" si="10"/>
        <v>C4</v>
      </c>
    </row>
    <row r="82" spans="1:22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6"/>
        <v>2.3280494476825235</v>
      </c>
      <c r="S82">
        <f t="shared" ca="1" si="7"/>
        <v>1.5039173022719294</v>
      </c>
      <c r="T82">
        <f t="shared" ca="1" si="8"/>
        <v>3.2389049290728562</v>
      </c>
      <c r="U82">
        <f t="shared" ca="1" si="9"/>
        <v>0.9712477029689478</v>
      </c>
      <c r="V82" t="str">
        <f t="shared" ca="1" si="10"/>
        <v>C4</v>
      </c>
    </row>
    <row r="83" spans="1:22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6"/>
        <v>1.8472070967019234</v>
      </c>
      <c r="S83">
        <f t="shared" ca="1" si="7"/>
        <v>1.1426395533540745</v>
      </c>
      <c r="T83">
        <f t="shared" ca="1" si="8"/>
        <v>2.6660363042550852</v>
      </c>
      <c r="U83">
        <f t="shared" ca="1" si="9"/>
        <v>1.9206604486105945</v>
      </c>
      <c r="V83" t="str">
        <f t="shared" ca="1" si="10"/>
        <v>C2</v>
      </c>
    </row>
    <row r="84" spans="1:22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6"/>
        <v>0.85439027468230666</v>
      </c>
      <c r="S84">
        <f t="shared" ca="1" si="7"/>
        <v>1.5652781886087106</v>
      </c>
      <c r="T84">
        <f t="shared" ca="1" si="8"/>
        <v>3.9011402216872586</v>
      </c>
      <c r="U84">
        <f t="shared" ca="1" si="9"/>
        <v>2.1500677511637352</v>
      </c>
      <c r="V84" t="str">
        <f t="shared" ca="1" si="10"/>
        <v>C1</v>
      </c>
    </row>
    <row r="85" spans="1:22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6"/>
        <v>1.412424957337328</v>
      </c>
      <c r="S85">
        <f t="shared" ca="1" si="7"/>
        <v>0.80348435068972457</v>
      </c>
      <c r="T85">
        <f t="shared" ca="1" si="8"/>
        <v>3.0899774490046217</v>
      </c>
      <c r="U85">
        <f t="shared" ca="1" si="9"/>
        <v>1.4667457902784331</v>
      </c>
      <c r="V85" t="str">
        <f t="shared" ca="1" si="10"/>
        <v>C2</v>
      </c>
    </row>
    <row r="86" spans="1:22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6"/>
        <v>2.6268430968351604</v>
      </c>
      <c r="S86">
        <f t="shared" ca="1" si="7"/>
        <v>1.4541991045699003</v>
      </c>
      <c r="T86">
        <f t="shared" ca="1" si="8"/>
        <v>2.8250613101868152</v>
      </c>
      <c r="U86">
        <f t="shared" ca="1" si="9"/>
        <v>1.0649355742674174</v>
      </c>
      <c r="V86" t="str">
        <f t="shared" ca="1" si="10"/>
        <v>C4</v>
      </c>
    </row>
    <row r="87" spans="1:22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6"/>
        <v>2.4577559643751314</v>
      </c>
      <c r="S87">
        <f t="shared" ca="1" si="7"/>
        <v>1.7900476581988609</v>
      </c>
      <c r="T87">
        <f t="shared" ca="1" si="8"/>
        <v>3.5834236329085409</v>
      </c>
      <c r="U87">
        <f t="shared" ca="1" si="9"/>
        <v>1.0636515585253679</v>
      </c>
      <c r="V87" t="str">
        <f t="shared" ca="1" si="10"/>
        <v>C4</v>
      </c>
    </row>
    <row r="88" spans="1:22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6"/>
        <v>1.6737226764547792</v>
      </c>
      <c r="S88">
        <f t="shared" ca="1" si="7"/>
        <v>2.4404610815249042</v>
      </c>
      <c r="T88">
        <f t="shared" ca="1" si="8"/>
        <v>4.5851722083440638</v>
      </c>
      <c r="U88">
        <f t="shared" ca="1" si="9"/>
        <v>2.4394130086972616</v>
      </c>
      <c r="V88" t="str">
        <f t="shared" ca="1" si="10"/>
        <v>C1</v>
      </c>
    </row>
    <row r="89" spans="1:22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6"/>
        <v>1.912505329486988</v>
      </c>
      <c r="S89">
        <f t="shared" ca="1" si="7"/>
        <v>0.9265088941743157</v>
      </c>
      <c r="T89">
        <f t="shared" ca="1" si="8"/>
        <v>2.7917090247402121</v>
      </c>
      <c r="U89">
        <f t="shared" ca="1" si="9"/>
        <v>1.2032645344739565</v>
      </c>
      <c r="V89" t="str">
        <f t="shared" ca="1" si="10"/>
        <v>C2</v>
      </c>
    </row>
    <row r="90" spans="1:22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6"/>
        <v>2.1812443194950144</v>
      </c>
      <c r="S90">
        <f t="shared" ca="1" si="7"/>
        <v>1.4655861075575194</v>
      </c>
      <c r="T90">
        <f t="shared" ca="1" si="8"/>
        <v>3.5435749284919256</v>
      </c>
      <c r="U90">
        <f t="shared" ca="1" si="9"/>
        <v>0.75476960991079778</v>
      </c>
      <c r="V90" t="str">
        <f t="shared" ca="1" si="10"/>
        <v>C4</v>
      </c>
    </row>
    <row r="91" spans="1:22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6"/>
        <v>2.0320630019561055</v>
      </c>
      <c r="S91">
        <f t="shared" ca="1" si="7"/>
        <v>0.95165486473054994</v>
      </c>
      <c r="T91">
        <f t="shared" ca="1" si="8"/>
        <v>2.9488205859977779</v>
      </c>
      <c r="U91">
        <f t="shared" ca="1" si="9"/>
        <v>0.52409059488768661</v>
      </c>
      <c r="V91" t="str">
        <f t="shared" ca="1" si="10"/>
        <v>C4</v>
      </c>
    </row>
    <row r="92" spans="1:22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6"/>
        <v>1.3383549718537573</v>
      </c>
      <c r="S92">
        <f t="shared" ca="1" si="7"/>
        <v>0.62095621398299417</v>
      </c>
      <c r="T92">
        <f t="shared" ca="1" si="8"/>
        <v>3.0375022316107305</v>
      </c>
      <c r="U92">
        <f t="shared" ca="1" si="9"/>
        <v>1.32088868625884</v>
      </c>
      <c r="V92" t="str">
        <f t="shared" ca="1" si="10"/>
        <v>C2</v>
      </c>
    </row>
    <row r="93" spans="1:22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6"/>
        <v>2.2720635011824415</v>
      </c>
      <c r="S93">
        <f t="shared" ca="1" si="7"/>
        <v>1.4292740502787651</v>
      </c>
      <c r="T93">
        <f t="shared" ca="1" si="8"/>
        <v>2.9977126898007866</v>
      </c>
      <c r="U93">
        <f t="shared" ca="1" si="9"/>
        <v>0.90082681010511978</v>
      </c>
      <c r="V93" t="str">
        <f t="shared" ca="1" si="10"/>
        <v>C4</v>
      </c>
    </row>
    <row r="94" spans="1:22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6"/>
        <v>2.3773267032610592</v>
      </c>
      <c r="S94">
        <f t="shared" ca="1" si="7"/>
        <v>1.7572673707331841</v>
      </c>
      <c r="T94">
        <f t="shared" ca="1" si="8"/>
        <v>3.1271132207616197</v>
      </c>
      <c r="U94">
        <f t="shared" ca="1" si="9"/>
        <v>0.96614578977495802</v>
      </c>
      <c r="V94" t="str">
        <f t="shared" ca="1" si="10"/>
        <v>C4</v>
      </c>
    </row>
    <row r="95" spans="1:22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6"/>
        <v>1.5039718986664707</v>
      </c>
      <c r="S95">
        <f t="shared" ca="1" si="7"/>
        <v>0.88813464494139571</v>
      </c>
      <c r="T95">
        <f t="shared" ca="1" si="8"/>
        <v>3.0753192699961707</v>
      </c>
      <c r="U95">
        <f t="shared" ca="1" si="9"/>
        <v>0.95202164209046769</v>
      </c>
      <c r="V95" t="str">
        <f t="shared" ca="1" si="10"/>
        <v>C2</v>
      </c>
    </row>
    <row r="96" spans="1:22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6"/>
        <v>1.5998935538796464</v>
      </c>
      <c r="S96">
        <f t="shared" ca="1" si="7"/>
        <v>0.88710710018433969</v>
      </c>
      <c r="T96">
        <f t="shared" ca="1" si="8"/>
        <v>2.8388528399414161</v>
      </c>
      <c r="U96">
        <f t="shared" ca="1" si="9"/>
        <v>1.6539238405514911</v>
      </c>
      <c r="V96" t="str">
        <f t="shared" ca="1" si="10"/>
        <v>C2</v>
      </c>
    </row>
    <row r="97" spans="1:22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6"/>
        <v>2.4164539954767394</v>
      </c>
      <c r="S97">
        <f t="shared" ca="1" si="7"/>
        <v>1.0848363655650279</v>
      </c>
      <c r="T97">
        <f t="shared" ca="1" si="8"/>
        <v>2.5841290325424069</v>
      </c>
      <c r="U97">
        <f t="shared" ca="1" si="9"/>
        <v>0.83861955169314428</v>
      </c>
      <c r="V97" t="str">
        <f t="shared" ca="1" si="10"/>
        <v>C4</v>
      </c>
    </row>
    <row r="98" spans="1:22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6"/>
        <v>1.6859432049747278</v>
      </c>
      <c r="S98">
        <f t="shared" ca="1" si="7"/>
        <v>0.97011318701665861</v>
      </c>
      <c r="T98">
        <f t="shared" ca="1" si="8"/>
        <v>3.4584710012619979</v>
      </c>
      <c r="U98">
        <f t="shared" ca="1" si="9"/>
        <v>1.1583837531305912</v>
      </c>
      <c r="V98" t="str">
        <f t="shared" ca="1" si="10"/>
        <v>C2</v>
      </c>
    </row>
    <row r="99" spans="1:22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6"/>
        <v>0.89892146073465973</v>
      </c>
      <c r="S99">
        <f t="shared" ca="1" si="7"/>
        <v>1.9486744795436171</v>
      </c>
      <c r="T99">
        <f t="shared" ca="1" si="8"/>
        <v>3.7448609055036126</v>
      </c>
      <c r="U99">
        <f t="shared" ca="1" si="9"/>
        <v>2.6535055499907245</v>
      </c>
      <c r="V99" t="str">
        <f t="shared" ca="1" si="10"/>
        <v>C1</v>
      </c>
    </row>
    <row r="100" spans="1:22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6"/>
        <v>1.8076837485495529</v>
      </c>
      <c r="S100">
        <f t="shared" ca="1" si="7"/>
        <v>0.90163401169242818</v>
      </c>
      <c r="T100">
        <f t="shared" ca="1" si="8"/>
        <v>2.4718887177118227</v>
      </c>
      <c r="U100">
        <f t="shared" ca="1" si="9"/>
        <v>1.5739948372272212</v>
      </c>
      <c r="V100" t="str">
        <f t="shared" ca="1" si="10"/>
        <v>C2</v>
      </c>
    </row>
    <row r="101" spans="1:22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6"/>
        <v>1.4732794462635745</v>
      </c>
      <c r="S101">
        <f t="shared" ca="1" si="7"/>
        <v>0.80598226813557539</v>
      </c>
      <c r="T101">
        <f t="shared" ca="1" si="8"/>
        <v>2.7772025656649135</v>
      </c>
      <c r="U101">
        <f t="shared" ca="1" si="9"/>
        <v>1.8664481939304216</v>
      </c>
      <c r="V101" t="str">
        <f t="shared" ca="1" si="10"/>
        <v>C2</v>
      </c>
    </row>
    <row r="102" spans="1:22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6"/>
        <v>0.93950990579485238</v>
      </c>
      <c r="S102">
        <f t="shared" ca="1" si="7"/>
        <v>2.1354949484713028</v>
      </c>
      <c r="T102">
        <f t="shared" ca="1" si="8"/>
        <v>4.3572649314268235</v>
      </c>
      <c r="U102">
        <f t="shared" ca="1" si="9"/>
        <v>2.9175696301421712</v>
      </c>
      <c r="V102" t="str">
        <f t="shared" ca="1" si="10"/>
        <v>C1</v>
      </c>
    </row>
    <row r="103" spans="1:22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6"/>
        <v>2.629780749710581</v>
      </c>
      <c r="S103">
        <f t="shared" ca="1" si="7"/>
        <v>2.2046854725723581</v>
      </c>
      <c r="T103">
        <f t="shared" ca="1" si="8"/>
        <v>4.1551415078477101</v>
      </c>
      <c r="U103">
        <f t="shared" ca="1" si="9"/>
        <v>1.4939843391982923</v>
      </c>
      <c r="V103" t="str">
        <f t="shared" ca="1" si="10"/>
        <v>C4</v>
      </c>
    </row>
    <row r="104" spans="1:22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6"/>
        <v>1.4608667248818832</v>
      </c>
      <c r="S104">
        <f t="shared" ca="1" si="7"/>
        <v>1.7680923367097714</v>
      </c>
      <c r="T104">
        <f t="shared" ca="1" si="8"/>
        <v>4.130945451683643</v>
      </c>
      <c r="U104">
        <f t="shared" ca="1" si="9"/>
        <v>2.6471185890479076</v>
      </c>
      <c r="V104" t="str">
        <f t="shared" ca="1" si="10"/>
        <v>C1</v>
      </c>
    </row>
    <row r="105" spans="1:22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6"/>
        <v>1.9576614301508639</v>
      </c>
      <c r="S105">
        <f t="shared" ca="1" si="7"/>
        <v>0.99806058773116346</v>
      </c>
      <c r="T105">
        <f t="shared" ca="1" si="8"/>
        <v>2.6830939519575985</v>
      </c>
      <c r="U105">
        <f t="shared" ca="1" si="9"/>
        <v>0.77225732627256605</v>
      </c>
      <c r="V105" t="str">
        <f t="shared" ca="1" si="10"/>
        <v>C4</v>
      </c>
    </row>
    <row r="106" spans="1:22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6"/>
        <v>2.1759101633570794</v>
      </c>
      <c r="S106">
        <f t="shared" ca="1" si="7"/>
        <v>1.0283811261349651</v>
      </c>
      <c r="T106">
        <f t="shared" ca="1" si="8"/>
        <v>2.8326015555119017</v>
      </c>
      <c r="U106">
        <f t="shared" ca="1" si="9"/>
        <v>1.1639789453414755</v>
      </c>
      <c r="V106" t="str">
        <f t="shared" ca="1" si="10"/>
        <v>C2</v>
      </c>
    </row>
    <row r="107" spans="1:22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6"/>
        <v>1.0920099534655709</v>
      </c>
      <c r="S107">
        <f t="shared" ca="1" si="7"/>
        <v>1.4708331875021263</v>
      </c>
      <c r="T107">
        <f t="shared" ca="1" si="8"/>
        <v>3.5245085708481168</v>
      </c>
      <c r="U107">
        <f t="shared" ca="1" si="9"/>
        <v>2.3652666474900301</v>
      </c>
      <c r="V107" t="str">
        <f t="shared" ca="1" si="10"/>
        <v>C1</v>
      </c>
    </row>
    <row r="108" spans="1:22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6"/>
        <v>1.1388517507234324</v>
      </c>
      <c r="S108">
        <f t="shared" ca="1" si="7"/>
        <v>1.3147548864813556</v>
      </c>
      <c r="T108">
        <f t="shared" ca="1" si="8"/>
        <v>3.9474308716974953</v>
      </c>
      <c r="U108">
        <f t="shared" ca="1" si="9"/>
        <v>1.806935534108016</v>
      </c>
      <c r="V108" t="str">
        <f t="shared" ca="1" si="10"/>
        <v>C1</v>
      </c>
    </row>
    <row r="109" spans="1:22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6"/>
        <v>2.2635206761292097</v>
      </c>
      <c r="S109">
        <f t="shared" ca="1" si="7"/>
        <v>1.5455409572679573</v>
      </c>
      <c r="T109">
        <f t="shared" ca="1" si="8"/>
        <v>3.3847011204196122</v>
      </c>
      <c r="U109">
        <f t="shared" ca="1" si="9"/>
        <v>1.1725924938951862</v>
      </c>
      <c r="V109" t="str">
        <f t="shared" ca="1" si="10"/>
        <v>C4</v>
      </c>
    </row>
    <row r="110" spans="1:22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6"/>
        <v>1.7768510541641134</v>
      </c>
      <c r="S110">
        <f t="shared" ca="1" si="7"/>
        <v>0.85791909410748379</v>
      </c>
      <c r="T110">
        <f t="shared" ca="1" si="8"/>
        <v>2.6865923301379078</v>
      </c>
      <c r="U110">
        <f t="shared" ca="1" si="9"/>
        <v>1.8581577905818398</v>
      </c>
      <c r="V110" t="str">
        <f t="shared" ca="1" si="10"/>
        <v>C2</v>
      </c>
    </row>
    <row r="111" spans="1:22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6"/>
        <v>2.7996922411606961</v>
      </c>
      <c r="S111">
        <f t="shared" ca="1" si="7"/>
        <v>1.8792539735366118</v>
      </c>
      <c r="T111">
        <f t="shared" ca="1" si="8"/>
        <v>3.185120495457415</v>
      </c>
      <c r="U111">
        <f t="shared" ca="1" si="9"/>
        <v>1.2350499640802459</v>
      </c>
      <c r="V111" t="str">
        <f t="shared" ca="1" si="10"/>
        <v>C4</v>
      </c>
    </row>
    <row r="112" spans="1:22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6"/>
        <v>2.0968855699378519</v>
      </c>
      <c r="S112">
        <f t="shared" ca="1" si="7"/>
        <v>1.5115574224974122</v>
      </c>
      <c r="T112">
        <f t="shared" ca="1" si="8"/>
        <v>2.8828784828479734</v>
      </c>
      <c r="U112">
        <f t="shared" ca="1" si="9"/>
        <v>2.585404837683789</v>
      </c>
      <c r="V112" t="str">
        <f t="shared" ca="1" si="10"/>
        <v>C2</v>
      </c>
    </row>
    <row r="113" spans="1:22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6"/>
        <v>1.4163541595039983</v>
      </c>
      <c r="S113">
        <f t="shared" ca="1" si="7"/>
        <v>2.082568628008536</v>
      </c>
      <c r="T113">
        <f t="shared" ca="1" si="8"/>
        <v>3.4289635886257068</v>
      </c>
      <c r="U113">
        <f t="shared" ca="1" si="9"/>
        <v>2.8283573453141408</v>
      </c>
      <c r="V113" t="str">
        <f t="shared" ca="1" si="10"/>
        <v>C1</v>
      </c>
    </row>
    <row r="114" spans="1:22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6"/>
        <v>1.8929119225674289</v>
      </c>
      <c r="S114">
        <f t="shared" ca="1" si="7"/>
        <v>1.2284545992521141</v>
      </c>
      <c r="T114">
        <f t="shared" ca="1" si="8"/>
        <v>2.6155652230537729</v>
      </c>
      <c r="U114">
        <f t="shared" ca="1" si="9"/>
        <v>2.3743594984134053</v>
      </c>
      <c r="V114" t="str">
        <f t="shared" ca="1" si="10"/>
        <v>C2</v>
      </c>
    </row>
    <row r="115" spans="1:22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6"/>
        <v>1.8576177065193369</v>
      </c>
      <c r="S115">
        <f t="shared" ca="1" si="7"/>
        <v>1.7748292479489007</v>
      </c>
      <c r="T115">
        <f t="shared" ca="1" si="8"/>
        <v>3.1341349765192876</v>
      </c>
      <c r="U115">
        <f t="shared" ca="1" si="9"/>
        <v>2.025151282487148</v>
      </c>
      <c r="V115" t="str">
        <f t="shared" ca="1" si="10"/>
        <v>C2</v>
      </c>
    </row>
    <row r="116" spans="1:22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6"/>
        <v>1.3835166015485552</v>
      </c>
      <c r="S116">
        <f t="shared" ca="1" si="7"/>
        <v>0.72771498072610052</v>
      </c>
      <c r="T116">
        <f t="shared" ca="1" si="8"/>
        <v>2.9601341819248668</v>
      </c>
      <c r="U116">
        <f t="shared" ca="1" si="9"/>
        <v>1.3082896435693701</v>
      </c>
      <c r="V116" t="str">
        <f t="shared" ca="1" si="10"/>
        <v>C2</v>
      </c>
    </row>
    <row r="117" spans="1:22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6"/>
        <v>1.8051319818790394</v>
      </c>
      <c r="S117">
        <f t="shared" ca="1" si="7"/>
        <v>1.03510677044794</v>
      </c>
      <c r="T117">
        <f t="shared" ca="1" si="8"/>
        <v>2.7574976769120467</v>
      </c>
      <c r="U117">
        <f t="shared" ca="1" si="9"/>
        <v>1.1521208335619104</v>
      </c>
      <c r="V117" t="str">
        <f t="shared" ca="1" si="10"/>
        <v>C2</v>
      </c>
    </row>
    <row r="118" spans="1:22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6"/>
        <v>2.4325407414912421</v>
      </c>
      <c r="S118">
        <f t="shared" ca="1" si="7"/>
        <v>1.5493512303398655</v>
      </c>
      <c r="T118">
        <f t="shared" ca="1" si="8"/>
        <v>3.5566250083977011</v>
      </c>
      <c r="U118">
        <f t="shared" ca="1" si="9"/>
        <v>0.66221092083161437</v>
      </c>
      <c r="V118" t="str">
        <f t="shared" ca="1" si="10"/>
        <v>C4</v>
      </c>
    </row>
    <row r="119" spans="1:22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6"/>
        <v>2.3826499222153443</v>
      </c>
      <c r="S119">
        <f t="shared" ca="1" si="7"/>
        <v>1.3002724936675762</v>
      </c>
      <c r="T119">
        <f t="shared" ca="1" si="8"/>
        <v>3.2521013859463408</v>
      </c>
      <c r="U119">
        <f t="shared" ca="1" si="9"/>
        <v>0.9267940001702355</v>
      </c>
      <c r="V119" t="str">
        <f t="shared" ca="1" si="10"/>
        <v>C4</v>
      </c>
    </row>
    <row r="120" spans="1:22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6"/>
        <v>1.6705353788452215</v>
      </c>
      <c r="S120">
        <f t="shared" ca="1" si="7"/>
        <v>1.4590511918269025</v>
      </c>
      <c r="T120">
        <f t="shared" ca="1" si="8"/>
        <v>2.7887300982099963</v>
      </c>
      <c r="U120">
        <f t="shared" ca="1" si="9"/>
        <v>2.7308046403815336</v>
      </c>
      <c r="V120" t="str">
        <f t="shared" ca="1" si="10"/>
        <v>C2</v>
      </c>
    </row>
    <row r="121" spans="1:22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6"/>
        <v>2.4578999682181362</v>
      </c>
      <c r="S121">
        <f t="shared" ca="1" si="7"/>
        <v>1.9568954583894411</v>
      </c>
      <c r="T121">
        <f t="shared" ca="1" si="8"/>
        <v>4.0937909450139793</v>
      </c>
      <c r="U121">
        <f t="shared" ca="1" si="9"/>
        <v>1.4484525192531041</v>
      </c>
      <c r="V121" t="str">
        <f t="shared" ca="1" si="10"/>
        <v>C4</v>
      </c>
    </row>
    <row r="122" spans="1:22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6"/>
        <v>1.6166429631706061</v>
      </c>
      <c r="S122">
        <f t="shared" ca="1" si="7"/>
        <v>0.86743619198586164</v>
      </c>
      <c r="T122">
        <f t="shared" ca="1" si="8"/>
        <v>3.2723409437761148</v>
      </c>
      <c r="U122">
        <f t="shared" ca="1" si="9"/>
        <v>0.9278903731244581</v>
      </c>
      <c r="V122" t="str">
        <f t="shared" ca="1" si="10"/>
        <v>C2</v>
      </c>
    </row>
    <row r="123" spans="1:22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6"/>
        <v>1.3796303677475372</v>
      </c>
      <c r="S123">
        <f t="shared" ca="1" si="7"/>
        <v>0.41521860755464629</v>
      </c>
      <c r="T123">
        <f t="shared" ca="1" si="8"/>
        <v>2.5843238758536695</v>
      </c>
      <c r="U123">
        <f t="shared" ca="1" si="9"/>
        <v>1.3438334962064584</v>
      </c>
      <c r="V123" t="str">
        <f t="shared" ca="1" si="10"/>
        <v>C2</v>
      </c>
    </row>
    <row r="124" spans="1:22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6"/>
        <v>0.85372236379661137</v>
      </c>
      <c r="S124">
        <f t="shared" ca="1" si="7"/>
        <v>1.6113978840958045</v>
      </c>
      <c r="T124">
        <f t="shared" ca="1" si="8"/>
        <v>3.4258099945359559</v>
      </c>
      <c r="U124">
        <f t="shared" ca="1" si="9"/>
        <v>2.1725429170331889</v>
      </c>
      <c r="V124" t="str">
        <f t="shared" ca="1" si="10"/>
        <v>C1</v>
      </c>
    </row>
    <row r="125" spans="1:22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6"/>
        <v>1.130982679360317</v>
      </c>
      <c r="S125">
        <f t="shared" ca="1" si="7"/>
        <v>0.74251222448571508</v>
      </c>
      <c r="T125">
        <f t="shared" ca="1" si="8"/>
        <v>3.1127724270726356</v>
      </c>
      <c r="U125">
        <f t="shared" ca="1" si="9"/>
        <v>1.4170572380159117</v>
      </c>
      <c r="V125" t="str">
        <f t="shared" ca="1" si="10"/>
        <v>C2</v>
      </c>
    </row>
    <row r="126" spans="1:22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6"/>
        <v>2.3016187894547344</v>
      </c>
      <c r="S126">
        <f t="shared" ca="1" si="7"/>
        <v>1.2064271804229465</v>
      </c>
      <c r="T126">
        <f t="shared" ca="1" si="8"/>
        <v>1.9428835641571238</v>
      </c>
      <c r="U126">
        <f t="shared" ca="1" si="9"/>
        <v>1.5732744226844515</v>
      </c>
      <c r="V126" t="str">
        <f t="shared" ca="1" si="10"/>
        <v>C2</v>
      </c>
    </row>
    <row r="127" spans="1:22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6"/>
        <v>1.0682372197950161</v>
      </c>
      <c r="S127">
        <f t="shared" ca="1" si="7"/>
        <v>1.8248764357090657</v>
      </c>
      <c r="T127">
        <f t="shared" ca="1" si="8"/>
        <v>4.2319823494802709</v>
      </c>
      <c r="U127">
        <f t="shared" ca="1" si="9"/>
        <v>2.3308821354117111</v>
      </c>
      <c r="V127" t="str">
        <f t="shared" ca="1" si="10"/>
        <v>C1</v>
      </c>
    </row>
    <row r="128" spans="1:22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6"/>
        <v>2.5685870439899059</v>
      </c>
      <c r="S128">
        <f t="shared" ca="1" si="7"/>
        <v>1.3165189434833808</v>
      </c>
      <c r="T128">
        <f t="shared" ca="1" si="8"/>
        <v>2.971410724020588</v>
      </c>
      <c r="U128">
        <f t="shared" ca="1" si="9"/>
        <v>1.0725245419867759</v>
      </c>
      <c r="V128" t="str">
        <f t="shared" ca="1" si="10"/>
        <v>C4</v>
      </c>
    </row>
    <row r="129" spans="1:22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6"/>
        <v>2.1689879572348505</v>
      </c>
      <c r="S129">
        <f t="shared" ca="1" si="7"/>
        <v>1.2187721990683809</v>
      </c>
      <c r="T129">
        <f t="shared" ca="1" si="8"/>
        <v>2.5246173965072414</v>
      </c>
      <c r="U129">
        <f t="shared" ca="1" si="9"/>
        <v>2.1043132966196931</v>
      </c>
      <c r="V129" t="str">
        <f t="shared" ca="1" si="10"/>
        <v>C2</v>
      </c>
    </row>
    <row r="130" spans="1:22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6"/>
        <v>1.8823001345929748</v>
      </c>
      <c r="S130">
        <f t="shared" ca="1" si="7"/>
        <v>1.2988708368445616</v>
      </c>
      <c r="T130">
        <f t="shared" ca="1" si="8"/>
        <v>3.6425582713771982</v>
      </c>
      <c r="U130">
        <f t="shared" ca="1" si="9"/>
        <v>1.2967295515161417</v>
      </c>
      <c r="V130" t="str">
        <f t="shared" ca="1" si="10"/>
        <v>C4</v>
      </c>
    </row>
    <row r="131" spans="1:22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R156" ca="1" si="11">SQRT(SUMXMY2($B131:$H131,L$2:L$8))</f>
        <v>0.92986185868326221</v>
      </c>
      <c r="S131">
        <f t="shared" ref="S131:S156" ca="1" si="12">SQRT(SUMXMY2($B131:$H131,M$2:M$8))</f>
        <v>1.6338715706064018</v>
      </c>
      <c r="T131">
        <f t="shared" ref="T131:T156" ca="1" si="13">SQRT(SUMXMY2($B131:$H131,N$2:N$8))</f>
        <v>3.572246790305492</v>
      </c>
      <c r="U131">
        <f t="shared" ref="U131:U156" ca="1" si="14">SQRT(SUMXMY2($B131:$H131,O$2:O$8))</f>
        <v>2.0122857871851756</v>
      </c>
      <c r="V131" t="str">
        <f t="shared" ref="V131:V156" ca="1" si="15">INDEX($R$1:$U$1, 1, MATCH(MIN(R131:U131), R131:U131,0))</f>
        <v>C1</v>
      </c>
    </row>
    <row r="132" spans="1:22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1"/>
        <v>0.85237773026351049</v>
      </c>
      <c r="S132">
        <f t="shared" ca="1" si="12"/>
        <v>1.9111497569839331</v>
      </c>
      <c r="T132">
        <f t="shared" ca="1" si="13"/>
        <v>3.5922072244925465</v>
      </c>
      <c r="U132">
        <f t="shared" ca="1" si="14"/>
        <v>2.7540156327241059</v>
      </c>
      <c r="V132" t="str">
        <f t="shared" ca="1" si="15"/>
        <v>C1</v>
      </c>
    </row>
    <row r="133" spans="1:22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1"/>
        <v>1.5481895776532821</v>
      </c>
      <c r="S133">
        <f t="shared" ca="1" si="12"/>
        <v>0.55474193710657371</v>
      </c>
      <c r="T133">
        <f t="shared" ca="1" si="13"/>
        <v>2.9309968285267347</v>
      </c>
      <c r="U133">
        <f t="shared" ca="1" si="14"/>
        <v>1.3560603508818623</v>
      </c>
      <c r="V133" t="str">
        <f t="shared" ca="1" si="15"/>
        <v>C2</v>
      </c>
    </row>
    <row r="134" spans="1:22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1"/>
        <v>1.4627661638110185</v>
      </c>
      <c r="S134">
        <f t="shared" ca="1" si="12"/>
        <v>1.7820037031404656</v>
      </c>
      <c r="T134">
        <f t="shared" ca="1" si="13"/>
        <v>3.9279622051910565</v>
      </c>
      <c r="U134">
        <f t="shared" ca="1" si="14"/>
        <v>2.0093850792180792</v>
      </c>
      <c r="V134" t="str">
        <f t="shared" ca="1" si="15"/>
        <v>C1</v>
      </c>
    </row>
    <row r="135" spans="1:22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1"/>
        <v>1.5411548701208535</v>
      </c>
      <c r="S135">
        <f t="shared" ca="1" si="12"/>
        <v>0.65603609140103769</v>
      </c>
      <c r="T135">
        <f t="shared" ca="1" si="13"/>
        <v>3.0349301290327007</v>
      </c>
      <c r="U135">
        <f t="shared" ca="1" si="14"/>
        <v>1.2634845809806199</v>
      </c>
      <c r="V135" t="str">
        <f t="shared" ca="1" si="15"/>
        <v>C2</v>
      </c>
    </row>
    <row r="136" spans="1:22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1"/>
        <v>1.730295387180657</v>
      </c>
      <c r="S136">
        <f t="shared" ca="1" si="12"/>
        <v>0.98802677929058269</v>
      </c>
      <c r="T136">
        <f t="shared" ca="1" si="13"/>
        <v>3.0010316918383899</v>
      </c>
      <c r="U136">
        <f t="shared" ca="1" si="14"/>
        <v>1.0796712704121383</v>
      </c>
      <c r="V136" t="str">
        <f t="shared" ca="1" si="15"/>
        <v>C2</v>
      </c>
    </row>
    <row r="137" spans="1:22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1"/>
        <v>1.7973514639770536</v>
      </c>
      <c r="S137">
        <f t="shared" ca="1" si="12"/>
        <v>1.3368475184527184</v>
      </c>
      <c r="T137">
        <f t="shared" ca="1" si="13"/>
        <v>3.5893561472238926</v>
      </c>
      <c r="U137">
        <f t="shared" ca="1" si="14"/>
        <v>0.79278828207453589</v>
      </c>
      <c r="V137" t="str">
        <f t="shared" ca="1" si="15"/>
        <v>C4</v>
      </c>
    </row>
    <row r="138" spans="1:22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1"/>
        <v>1.1560224191037825</v>
      </c>
      <c r="S138">
        <f t="shared" ca="1" si="12"/>
        <v>1.4576231450929578</v>
      </c>
      <c r="T138">
        <f t="shared" ca="1" si="13"/>
        <v>3.5799308033670769</v>
      </c>
      <c r="U138">
        <f t="shared" ca="1" si="14"/>
        <v>2.4118860945466452</v>
      </c>
      <c r="V138" t="str">
        <f t="shared" ca="1" si="15"/>
        <v>C1</v>
      </c>
    </row>
    <row r="139" spans="1:22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1"/>
        <v>1.49039013772717</v>
      </c>
      <c r="S139">
        <f t="shared" ca="1" si="12"/>
        <v>1.113570855308138</v>
      </c>
      <c r="T139">
        <f t="shared" ca="1" si="13"/>
        <v>3.4086455837525196</v>
      </c>
      <c r="U139">
        <f t="shared" ca="1" si="14"/>
        <v>1.5367377465179424</v>
      </c>
      <c r="V139" t="str">
        <f t="shared" ca="1" si="15"/>
        <v>C2</v>
      </c>
    </row>
    <row r="140" spans="1:22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1"/>
        <v>1.8579693221729832</v>
      </c>
      <c r="S140">
        <f t="shared" ca="1" si="12"/>
        <v>0.8758077876082857</v>
      </c>
      <c r="T140">
        <f t="shared" ca="1" si="13"/>
        <v>3.1834215869092799</v>
      </c>
      <c r="U140">
        <f t="shared" ca="1" si="14"/>
        <v>1.12578534485711</v>
      </c>
      <c r="V140" t="str">
        <f t="shared" ca="1" si="15"/>
        <v>C2</v>
      </c>
    </row>
    <row r="141" spans="1:22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1"/>
        <v>1.7277336050588472</v>
      </c>
      <c r="S141">
        <f t="shared" ca="1" si="12"/>
        <v>0.79476545583414926</v>
      </c>
      <c r="T141">
        <f t="shared" ca="1" si="13"/>
        <v>2.9622447170779966</v>
      </c>
      <c r="U141">
        <f t="shared" ca="1" si="14"/>
        <v>1.6160420182671933</v>
      </c>
      <c r="V141" t="str">
        <f t="shared" ca="1" si="15"/>
        <v>C2</v>
      </c>
    </row>
    <row r="142" spans="1:22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1"/>
        <v>3.410680464079844</v>
      </c>
      <c r="S142">
        <f t="shared" ca="1" si="12"/>
        <v>2.300234542700955</v>
      </c>
      <c r="T142">
        <f t="shared" ca="1" si="13"/>
        <v>2.9292609708305837</v>
      </c>
      <c r="U142">
        <f t="shared" ca="1" si="14"/>
        <v>1.462316925223091</v>
      </c>
      <c r="V142" t="str">
        <f t="shared" ca="1" si="15"/>
        <v>C4</v>
      </c>
    </row>
    <row r="143" spans="1:22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1"/>
        <v>1.8188432408766608</v>
      </c>
      <c r="S143">
        <f t="shared" ca="1" si="12"/>
        <v>0.63589595645234887</v>
      </c>
      <c r="T143">
        <f t="shared" ca="1" si="13"/>
        <v>2.5379890757385288</v>
      </c>
      <c r="U143">
        <f t="shared" ca="1" si="14"/>
        <v>1.5738562908339773</v>
      </c>
      <c r="V143" t="str">
        <f t="shared" ca="1" si="15"/>
        <v>C2</v>
      </c>
    </row>
    <row r="144" spans="1:22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1"/>
        <v>1.0777534139741385</v>
      </c>
      <c r="S144">
        <f t="shared" ca="1" si="12"/>
        <v>2.2987470785750617</v>
      </c>
      <c r="T144">
        <f t="shared" ca="1" si="13"/>
        <v>4.285302765920461</v>
      </c>
      <c r="U144">
        <f t="shared" ca="1" si="14"/>
        <v>2.7970073384383487</v>
      </c>
      <c r="V144" t="str">
        <f t="shared" ca="1" si="15"/>
        <v>C1</v>
      </c>
    </row>
    <row r="145" spans="1:22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1"/>
        <v>1.6431196288905585</v>
      </c>
      <c r="S145">
        <f t="shared" ca="1" si="12"/>
        <v>2.4308467875145592</v>
      </c>
      <c r="T145">
        <f t="shared" ca="1" si="13"/>
        <v>4.2820777319504408</v>
      </c>
      <c r="U145">
        <f t="shared" ca="1" si="14"/>
        <v>3.4286664767236461</v>
      </c>
      <c r="V145" t="str">
        <f t="shared" ca="1" si="15"/>
        <v>C1</v>
      </c>
    </row>
    <row r="146" spans="1:22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1"/>
        <v>1.1947088819539646</v>
      </c>
      <c r="S146">
        <f t="shared" ca="1" si="12"/>
        <v>1.4103018104562275</v>
      </c>
      <c r="T146">
        <f t="shared" ca="1" si="13"/>
        <v>2.9607641260557869</v>
      </c>
      <c r="U146">
        <f t="shared" ca="1" si="14"/>
        <v>2.1326151899188699</v>
      </c>
      <c r="V146" t="str">
        <f t="shared" ca="1" si="15"/>
        <v>C1</v>
      </c>
    </row>
    <row r="147" spans="1:22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1"/>
        <v>1.8443972969330391</v>
      </c>
      <c r="S147">
        <f t="shared" ca="1" si="12"/>
        <v>1.0359655010598778</v>
      </c>
      <c r="T147">
        <f t="shared" ca="1" si="13"/>
        <v>3.2933540117950173</v>
      </c>
      <c r="U147">
        <f t="shared" ca="1" si="14"/>
        <v>1.206449311280563</v>
      </c>
      <c r="V147" t="str">
        <f t="shared" ca="1" si="15"/>
        <v>C2</v>
      </c>
    </row>
    <row r="148" spans="1:22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1"/>
        <v>1.943013163973073</v>
      </c>
      <c r="S148">
        <f t="shared" ca="1" si="12"/>
        <v>1.5906669252238912</v>
      </c>
      <c r="T148">
        <f t="shared" ca="1" si="13"/>
        <v>3.6967963714111227</v>
      </c>
      <c r="U148">
        <f t="shared" ca="1" si="14"/>
        <v>1.3592065825548163</v>
      </c>
      <c r="V148" t="str">
        <f t="shared" ca="1" si="15"/>
        <v>C4</v>
      </c>
    </row>
    <row r="149" spans="1:22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1"/>
        <v>1.6212687674966066</v>
      </c>
      <c r="S149">
        <f t="shared" ca="1" si="12"/>
        <v>0.44044626620413924</v>
      </c>
      <c r="T149">
        <f t="shared" ca="1" si="13"/>
        <v>2.4526305521134968</v>
      </c>
      <c r="U149">
        <f t="shared" ca="1" si="14"/>
        <v>1.4997008894545272</v>
      </c>
      <c r="V149" t="str">
        <f t="shared" ca="1" si="15"/>
        <v>C2</v>
      </c>
    </row>
    <row r="150" spans="1:22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1"/>
        <v>1.1628432741406816</v>
      </c>
      <c r="S150">
        <f t="shared" ca="1" si="12"/>
        <v>1.4170020204115195</v>
      </c>
      <c r="T150">
        <f t="shared" ca="1" si="13"/>
        <v>3.8211616889420918</v>
      </c>
      <c r="U150">
        <f t="shared" ca="1" si="14"/>
        <v>2.3756842468341191</v>
      </c>
      <c r="V150" t="str">
        <f t="shared" ca="1" si="15"/>
        <v>C1</v>
      </c>
    </row>
    <row r="151" spans="1:22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1"/>
        <v>0.94452734130841709</v>
      </c>
      <c r="S151">
        <f t="shared" ca="1" si="12"/>
        <v>2.0637930425046216</v>
      </c>
      <c r="T151">
        <f t="shared" ca="1" si="13"/>
        <v>3.7745360405106156</v>
      </c>
      <c r="U151">
        <f t="shared" ca="1" si="14"/>
        <v>2.9423507476763127</v>
      </c>
      <c r="V151" t="str">
        <f t="shared" ca="1" si="15"/>
        <v>C1</v>
      </c>
    </row>
    <row r="152" spans="1:22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1"/>
        <v>2.2828465532156623</v>
      </c>
      <c r="S152">
        <f t="shared" ca="1" si="12"/>
        <v>1.2122035185700395</v>
      </c>
      <c r="T152">
        <f t="shared" ca="1" si="13"/>
        <v>3.007780908689873</v>
      </c>
      <c r="U152">
        <f t="shared" ca="1" si="14"/>
        <v>0.55140985681353727</v>
      </c>
      <c r="V152" t="str">
        <f t="shared" ca="1" si="15"/>
        <v>C4</v>
      </c>
    </row>
    <row r="153" spans="1:22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1"/>
        <v>0.97119373866692937</v>
      </c>
      <c r="S153">
        <f t="shared" ca="1" si="12"/>
        <v>1.479279050218004</v>
      </c>
      <c r="T153">
        <f t="shared" ca="1" si="13"/>
        <v>3.170813585279161</v>
      </c>
      <c r="U153">
        <f t="shared" ca="1" si="14"/>
        <v>2.5193201417064648</v>
      </c>
      <c r="V153" t="str">
        <f t="shared" ca="1" si="15"/>
        <v>C1</v>
      </c>
    </row>
    <row r="154" spans="1:22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1"/>
        <v>1.5581202760690043</v>
      </c>
      <c r="S154">
        <f t="shared" ca="1" si="12"/>
        <v>1.6681800555473811</v>
      </c>
      <c r="T154">
        <f t="shared" ca="1" si="13"/>
        <v>3.8654736857312697</v>
      </c>
      <c r="U154">
        <f t="shared" ca="1" si="14"/>
        <v>1.3784458483249411</v>
      </c>
      <c r="V154" t="str">
        <f t="shared" ca="1" si="15"/>
        <v>C4</v>
      </c>
    </row>
    <row r="155" spans="1:22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1"/>
        <v>1.9748782758359278</v>
      </c>
      <c r="S155">
        <f t="shared" ca="1" si="12"/>
        <v>1.8177331941096218</v>
      </c>
      <c r="T155">
        <f t="shared" ca="1" si="13"/>
        <v>2.7281000841139833</v>
      </c>
      <c r="U155">
        <f t="shared" ca="1" si="14"/>
        <v>2.2430791999956523</v>
      </c>
      <c r="V155" t="str">
        <f t="shared" ca="1" si="15"/>
        <v>C2</v>
      </c>
    </row>
    <row r="156" spans="1:22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1"/>
        <v>2.596823035188295</v>
      </c>
      <c r="S156">
        <f t="shared" ca="1" si="12"/>
        <v>1.9777691140151437</v>
      </c>
      <c r="T156">
        <f t="shared" ca="1" si="13"/>
        <v>3.6163008621277553</v>
      </c>
      <c r="U156">
        <f t="shared" ca="1" si="14"/>
        <v>1.7731061325695727</v>
      </c>
      <c r="V156" t="str">
        <f t="shared" ca="1" si="15"/>
        <v>C4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6"/>
  <sheetViews>
    <sheetView topLeftCell="D1" workbookViewId="0">
      <selection activeCell="H21" sqref="H21"/>
    </sheetView>
  </sheetViews>
  <sheetFormatPr defaultRowHeight="15" x14ac:dyDescent="0.25"/>
  <cols>
    <col min="1" max="1" width="15.28515625" bestFit="1" customWidth="1"/>
    <col min="2" max="2" width="7.28515625" bestFit="1" customWidth="1"/>
    <col min="3" max="3" width="8.28515625" bestFit="1" customWidth="1"/>
    <col min="4" max="4" width="7.28515625" bestFit="1" customWidth="1"/>
    <col min="5" max="5" width="7.5703125" bestFit="1" customWidth="1"/>
    <col min="6" max="6" width="7.28515625" bestFit="1" customWidth="1"/>
    <col min="7" max="7" width="8.7109375" bestFit="1" customWidth="1"/>
    <col min="8" max="8" width="7.28515625" bestFit="1" customWidth="1"/>
    <col min="11" max="11" width="8.7109375" bestFit="1" customWidth="1"/>
    <col min="12" max="13" width="8.28515625" customWidth="1"/>
    <col min="14" max="14" width="8.85546875" customWidth="1"/>
    <col min="15" max="15" width="8.42578125" customWidth="1"/>
    <col min="18" max="18" width="8.140625" customWidth="1"/>
    <col min="19" max="20" width="7.28515625" customWidth="1"/>
    <col min="21" max="22" width="7" customWidth="1"/>
    <col min="23" max="23" width="5.85546875" customWidth="1"/>
    <col min="24" max="24" width="10.85546875" bestFit="1" customWidth="1"/>
    <col min="25" max="25" width="10.42578125" bestFit="1" customWidth="1"/>
  </cols>
  <sheetData>
    <row r="1" spans="1:25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J1" t="s">
        <v>169</v>
      </c>
      <c r="L1" t="s">
        <v>155</v>
      </c>
      <c r="M1" t="s">
        <v>156</v>
      </c>
      <c r="N1" t="s">
        <v>157</v>
      </c>
      <c r="O1" t="s">
        <v>158</v>
      </c>
      <c r="Q1" t="s">
        <v>160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X1" t="s">
        <v>170</v>
      </c>
      <c r="Y1" t="s">
        <v>171</v>
      </c>
    </row>
    <row r="2" spans="1:25" x14ac:dyDescent="0.25">
      <c r="A2" t="s">
        <v>3</v>
      </c>
      <c r="B2" s="4">
        <v>-0.84083333299999996</v>
      </c>
      <c r="C2" s="4">
        <v>1.333</v>
      </c>
      <c r="D2" s="4">
        <v>1.4755</v>
      </c>
      <c r="E2" s="4">
        <v>-1.3907499999999999</v>
      </c>
      <c r="F2" s="4">
        <v>2.7833332999999998E-2</v>
      </c>
      <c r="G2" s="4">
        <v>-2.5495000000000001</v>
      </c>
      <c r="H2" s="4">
        <v>-1.242</v>
      </c>
      <c r="J2" s="5">
        <v>2</v>
      </c>
      <c r="K2" t="str">
        <f>B1</f>
        <v>F1</v>
      </c>
      <c r="L2" s="3">
        <f ca="1">IFERROR(AVERAGEIFS(INDEX(AA, 0, $J2),  INDIRECT($J$1 &amp; "!$V$2") : INDIRECT($J$1 &amp; "!$V$156"), L$1), 0)</f>
        <v>-0.51546666659999996</v>
      </c>
      <c r="M2" s="3">
        <f ca="1">IFERROR(AVERAGEIFS(INDEX(AA, 0, $J2),  INDIRECT($J$1 &amp; "!$V$2") : INDIRECT($J$1 &amp; "!$V$156"), M$1), 0)</f>
        <v>-0.19896845506557373</v>
      </c>
      <c r="N2" s="3">
        <f ca="1">IFERROR(AVERAGEIFS(INDEX(AA, 0, $J2),  INDIRECT($J$1 &amp; "!$V$2") : INDIRECT($J$1 &amp; "!$V$156"), N$1), 0)</f>
        <v>0.66391666699999996</v>
      </c>
      <c r="O2" s="3">
        <f ca="1">IFERROR(AVERAGEIFS(INDEX(AA, 0, $J2),  INDIRECT($J$1 &amp; "!$V$2") : INDIRECT($J$1 &amp; "!$V$156"), O$1), 0)</f>
        <v>-0.54682614939655183</v>
      </c>
      <c r="Q2" s="2"/>
      <c r="R2">
        <f ca="1">SQRT(SUMXMY2($B2:$H2,L$2:L$8))</f>
        <v>1.4285186197344977</v>
      </c>
      <c r="S2">
        <f t="shared" ref="S2:U17" ca="1" si="0">SQRT(SUMXMY2($B2:$H2,M$2:M$8))</f>
        <v>1.3039614486885145</v>
      </c>
      <c r="T2">
        <f t="shared" ca="1" si="0"/>
        <v>3.5456050247842672</v>
      </c>
      <c r="U2">
        <f t="shared" ca="1" si="0"/>
        <v>1.6516733107596877</v>
      </c>
      <c r="V2" t="str">
        <f ca="1">INDEX($R$1:$U$1, 1, MATCH(MIN(R2:U2), R2:U2,0))</f>
        <v>C2</v>
      </c>
      <c r="W2">
        <v>2</v>
      </c>
      <c r="X2" t="str">
        <f ca="1">INDIRECT($J$1  &amp; "!V" &amp; W2)</f>
        <v>C2</v>
      </c>
      <c r="Y2">
        <f ca="1">IF(V2=X2, 0, 1)</f>
        <v>0</v>
      </c>
    </row>
    <row r="3" spans="1:25" x14ac:dyDescent="0.25">
      <c r="A3" t="s">
        <v>4</v>
      </c>
      <c r="B3" s="4">
        <v>1.7999999999999999E-2</v>
      </c>
      <c r="C3" s="4">
        <v>0.76249999999999996</v>
      </c>
      <c r="D3" s="4">
        <v>0.32450000000000001</v>
      </c>
      <c r="E3" s="4">
        <v>-1.48725</v>
      </c>
      <c r="F3" s="4">
        <v>-0.20649999999999999</v>
      </c>
      <c r="G3" s="4">
        <v>-2.7657500000000002</v>
      </c>
      <c r="H3" s="4">
        <v>-0.30299999999999999</v>
      </c>
      <c r="J3" s="5">
        <v>3</v>
      </c>
      <c r="K3" t="str">
        <f>C1</f>
        <v>F2</v>
      </c>
      <c r="L3" s="3">
        <f ca="1">IFERROR(AVERAGEIFS(INDEX(AA, 0, $J3),  INDIRECT($J$1 &amp; "!$V$2") : INDIRECT($J$1 &amp; "!$V$156"), L$1), 0)</f>
        <v>1.951585714285714</v>
      </c>
      <c r="M3" s="3">
        <f ca="1">IFERROR(AVERAGEIFS(INDEX(AA, 0, $J3),  INDIRECT($J$1 &amp; "!$V$2") : INDIRECT($J$1 &amp; "!$V$156"), M$1), 0)</f>
        <v>1.1575573770491807</v>
      </c>
      <c r="N3" s="3">
        <f ca="1">IFERROR(AVERAGEIFS(INDEX(AA, 0, $J3),  INDIRECT($J$1 &amp; "!$V$2") : INDIRECT($J$1 &amp; "!$V$156"), N$1), 0)</f>
        <v>-0.76075000000000004</v>
      </c>
      <c r="O3" s="3">
        <f ca="1">IFERROR(AVERAGEIFS(INDEX(AA, 0, $J3),  INDIRECT($J$1 &amp; "!$V$2") : INDIRECT($J$1 &amp; "!$V$156"), O$1), 0)</f>
        <v>1.0243577586206898</v>
      </c>
      <c r="Q3" s="2"/>
      <c r="R3">
        <f t="shared" ref="R3:U66" ca="1" si="1">SQRT(SUMXMY2($B3:$H3,L$2:L$8))</f>
        <v>1.9229425821594881</v>
      </c>
      <c r="S3">
        <f t="shared" ca="1" si="0"/>
        <v>0.88992067790829921</v>
      </c>
      <c r="T3">
        <f t="shared" ca="1" si="0"/>
        <v>2.6725897474571676</v>
      </c>
      <c r="U3">
        <f t="shared" ca="1" si="0"/>
        <v>1.6147509456214166</v>
      </c>
      <c r="V3" t="str">
        <f t="shared" ref="V3:V66" ca="1" si="2">INDEX($R$1:$U$1, 1, MATCH(MIN(R3:U3), R3:U3,0))</f>
        <v>C2</v>
      </c>
      <c r="W3">
        <v>3</v>
      </c>
      <c r="X3" t="str">
        <f t="shared" ref="X3:X66" ca="1" si="3">INDIRECT($J$1  &amp; "!V" &amp; W3)</f>
        <v>C2</v>
      </c>
      <c r="Y3">
        <f t="shared" ref="Y3:Y66" ca="1" si="4">IF(V3=X3, 0, 1)</f>
        <v>0</v>
      </c>
    </row>
    <row r="4" spans="1:25" x14ac:dyDescent="0.25">
      <c r="A4" t="s">
        <v>5</v>
      </c>
      <c r="B4" s="4">
        <v>0.35491666700000002</v>
      </c>
      <c r="C4" s="4">
        <v>0.13475000000000001</v>
      </c>
      <c r="D4" s="4">
        <v>0.63400000000000001</v>
      </c>
      <c r="E4" s="4">
        <v>-0.83050000000000002</v>
      </c>
      <c r="F4" s="4">
        <v>6.6666666999999999E-2</v>
      </c>
      <c r="G4" s="4">
        <v>-2.7637499999999999</v>
      </c>
      <c r="H4" s="4">
        <v>-1.3166667E-2</v>
      </c>
      <c r="J4" s="5">
        <v>4</v>
      </c>
      <c r="K4" t="str">
        <f>D1</f>
        <v>F3</v>
      </c>
      <c r="L4" s="3">
        <f ca="1">IFERROR(AVERAGEIFS(INDEX(AA, 0, $J4),  INDIRECT($J$1 &amp; "!$V$2") : INDIRECT($J$1 &amp; "!$V$156"), L$1), 0)</f>
        <v>0.81170357142857141</v>
      </c>
      <c r="M4" s="3">
        <f ca="1">IFERROR(AVERAGEIFS(INDEX(AA, 0, $J4),  INDIRECT($J$1 &amp; "!$V$2") : INDIRECT($J$1 &amp; "!$V$156"), M$1), 0)</f>
        <v>0.7994733606557376</v>
      </c>
      <c r="N4" s="3">
        <f ca="1">IFERROR(AVERAGEIFS(INDEX(AA, 0, $J4),  INDIRECT($J$1 &amp; "!$V$2") : INDIRECT($J$1 &amp; "!$V$156"), N$1), 0)</f>
        <v>1.2355</v>
      </c>
      <c r="O4" s="3">
        <f ca="1">IFERROR(AVERAGEIFS(INDEX(AA, 0, $J4),  INDIRECT($J$1 &amp; "!$V$2") : INDIRECT($J$1 &amp; "!$V$156"), O$1), 0)</f>
        <v>1.1077844827586205</v>
      </c>
      <c r="Q4" s="2"/>
      <c r="R4">
        <f t="shared" ca="1" si="1"/>
        <v>2.2934278683964266</v>
      </c>
      <c r="S4">
        <f t="shared" ca="1" si="0"/>
        <v>1.5111210252745957</v>
      </c>
      <c r="T4">
        <f t="shared" ca="1" si="0"/>
        <v>1.9905326705432393</v>
      </c>
      <c r="U4">
        <f t="shared" ca="1" si="0"/>
        <v>2.3109944389307553</v>
      </c>
      <c r="V4" t="str">
        <f t="shared" ca="1" si="2"/>
        <v>C2</v>
      </c>
      <c r="W4">
        <v>4</v>
      </c>
      <c r="X4" t="str">
        <f t="shared" ca="1" si="3"/>
        <v>C2</v>
      </c>
      <c r="Y4">
        <f t="shared" ca="1" si="4"/>
        <v>0</v>
      </c>
    </row>
    <row r="5" spans="1:25" x14ac:dyDescent="0.25">
      <c r="A5" t="s">
        <v>6</v>
      </c>
      <c r="B5" s="4">
        <v>-0.20374999999999999</v>
      </c>
      <c r="C5" s="4">
        <v>2.4987499999999998</v>
      </c>
      <c r="D5" s="4">
        <v>0.48312500000000003</v>
      </c>
      <c r="E5" s="4">
        <v>-0.46325</v>
      </c>
      <c r="F5" s="4">
        <v>2.1560000000000001</v>
      </c>
      <c r="G5" s="4">
        <v>-2.4822500000000001</v>
      </c>
      <c r="H5" s="4">
        <v>-6.3500000000000001E-2</v>
      </c>
      <c r="J5" s="5">
        <v>5</v>
      </c>
      <c r="K5" t="str">
        <f>E1</f>
        <v>F4</v>
      </c>
      <c r="L5" s="3">
        <f ca="1">IFERROR(AVERAGEIFS(INDEX(AA, 0, $J5),  INDIRECT($J$1 &amp; "!$V$2") : INDIRECT($J$1 &amp; "!$V$156"), L$1), 0)</f>
        <v>-0.39815000000000011</v>
      </c>
      <c r="M5" s="3">
        <f ca="1">IFERROR(AVERAGEIFS(INDEX(AA, 0, $J5),  INDIRECT($J$1 &amp; "!$V$2") : INDIRECT($J$1 &amp; "!$V$156"), M$1), 0)</f>
        <v>-1.4484221311475411</v>
      </c>
      <c r="N5" s="3">
        <f ca="1">IFERROR(AVERAGEIFS(INDEX(AA, 0, $J5),  INDIRECT($J$1 &amp; "!$V$2") : INDIRECT($J$1 &amp; "!$V$156"), N$1), 0)</f>
        <v>-1.0117499999999999</v>
      </c>
      <c r="O5" s="3">
        <f ca="1">IFERROR(AVERAGEIFS(INDEX(AA, 0, $J5),  INDIRECT($J$1 &amp; "!$V$2") : INDIRECT($J$1 &amp; "!$V$156"), O$1), 0)</f>
        <v>-2.0223017241379311</v>
      </c>
      <c r="Q5" s="2"/>
      <c r="R5">
        <f t="shared" ca="1" si="1"/>
        <v>2.4330011424404492</v>
      </c>
      <c r="S5">
        <f t="shared" ca="1" si="0"/>
        <v>2.8418165411657674</v>
      </c>
      <c r="T5">
        <f t="shared" ca="1" si="0"/>
        <v>4.3002681861217296</v>
      </c>
      <c r="U5">
        <f t="shared" ca="1" si="0"/>
        <v>4.0110214105676896</v>
      </c>
      <c r="V5" t="str">
        <f t="shared" ca="1" si="2"/>
        <v>C1</v>
      </c>
      <c r="W5">
        <v>5</v>
      </c>
      <c r="X5" t="str">
        <f t="shared" ca="1" si="3"/>
        <v>C1</v>
      </c>
      <c r="Y5">
        <f t="shared" ca="1" si="4"/>
        <v>0</v>
      </c>
    </row>
    <row r="6" spans="1:25" x14ac:dyDescent="0.25">
      <c r="A6" t="s">
        <v>7</v>
      </c>
      <c r="B6" s="4">
        <v>0.68899999999999995</v>
      </c>
      <c r="C6" s="4">
        <v>1.1572499999999999</v>
      </c>
      <c r="D6" s="4">
        <v>0.95262500000000006</v>
      </c>
      <c r="E6" s="4">
        <v>-2.2229999999999999</v>
      </c>
      <c r="F6" s="4">
        <v>0.150166667</v>
      </c>
      <c r="G6" s="4">
        <v>-2.1107499999999999</v>
      </c>
      <c r="H6" s="4">
        <v>-0.60899999999999999</v>
      </c>
      <c r="J6" s="5">
        <v>6</v>
      </c>
      <c r="K6" t="str">
        <f>F1</f>
        <v>F5</v>
      </c>
      <c r="L6" s="3">
        <f ca="1">IFERROR(AVERAGEIFS(INDEX(AA, 0, $J6),  INDIRECT($J$1 &amp; "!$V$2") : INDIRECT($J$1 &amp; "!$V$156"), L$1), 0)</f>
        <v>-1.5666666285714464E-3</v>
      </c>
      <c r="M6" s="3">
        <f ca="1">IFERROR(AVERAGEIFS(INDEX(AA, 0, $J6),  INDIRECT($J$1 &amp; "!$V$2") : INDIRECT($J$1 &amp; "!$V$156"), M$1), 0)</f>
        <v>-7.7330601081967196E-2</v>
      </c>
      <c r="N6" s="3">
        <f ca="1">IFERROR(AVERAGEIFS(INDEX(AA, 0, $J6),  INDIRECT($J$1 &amp; "!$V$2") : INDIRECT($J$1 &amp; "!$V$156"), N$1), 0)</f>
        <v>0.10716666699999999</v>
      </c>
      <c r="O6" s="3">
        <f ca="1">IFERROR(AVERAGEIFS(INDEX(AA, 0, $J6),  INDIRECT($J$1 &amp; "!$V$2") : INDIRECT($J$1 &amp; "!$V$156"), O$1), 0)</f>
        <v>-1.0999942528103446</v>
      </c>
      <c r="Q6" s="2"/>
      <c r="R6">
        <f t="shared" ca="1" si="1"/>
        <v>2.373239128119577</v>
      </c>
      <c r="S6">
        <f t="shared" ca="1" si="0"/>
        <v>1.2256453647673315</v>
      </c>
      <c r="T6">
        <f t="shared" ca="1" si="0"/>
        <v>2.805235289335509</v>
      </c>
      <c r="U6">
        <f t="shared" ca="1" si="0"/>
        <v>1.7834666706898106</v>
      </c>
      <c r="V6" t="str">
        <f t="shared" ca="1" si="2"/>
        <v>C2</v>
      </c>
      <c r="W6">
        <v>6</v>
      </c>
      <c r="X6" t="str">
        <f t="shared" ca="1" si="3"/>
        <v>C2</v>
      </c>
      <c r="Y6">
        <f t="shared" ca="1" si="4"/>
        <v>0</v>
      </c>
    </row>
    <row r="7" spans="1:25" x14ac:dyDescent="0.25">
      <c r="A7" t="s">
        <v>8</v>
      </c>
      <c r="B7" s="4">
        <v>-0.67891666699999997</v>
      </c>
      <c r="C7" s="4">
        <v>-8.7749999999999995E-2</v>
      </c>
      <c r="D7" s="4">
        <v>1.5736250000000001</v>
      </c>
      <c r="E7" s="4">
        <v>-1.6677500000000001</v>
      </c>
      <c r="F7" s="4">
        <v>-0.71483333299999996</v>
      </c>
      <c r="G7" s="4">
        <v>-2.4962499999999999</v>
      </c>
      <c r="H7" s="4">
        <v>-1.092666667</v>
      </c>
      <c r="J7" s="5">
        <v>7</v>
      </c>
      <c r="K7" t="str">
        <f>G1</f>
        <v>F6</v>
      </c>
      <c r="L7" s="3">
        <f ca="1">IFERROR(AVERAGEIFS(INDEX(AA, 0, $J7),  INDIRECT($J$1 &amp; "!$V$2") : INDIRECT($J$1 &amp; "!$V$156"), L$1), 0)</f>
        <v>-2.3866976190571427</v>
      </c>
      <c r="M7" s="3">
        <f ca="1">IFERROR(AVERAGEIFS(INDEX(AA, 0, $J7),  INDIRECT($J$1 &amp; "!$V$2") : INDIRECT($J$1 &amp; "!$V$156"), M$1), 0)</f>
        <v>-2.1923606557377044</v>
      </c>
      <c r="N7" s="3">
        <f ca="1">IFERROR(AVERAGEIFS(INDEX(AA, 0, $J7),  INDIRECT($J$1 &amp; "!$V$2") : INDIRECT($J$1 &amp; "!$V$156"), N$1), 0)</f>
        <v>-1.3687499999999999</v>
      </c>
      <c r="O7" s="3">
        <f ca="1">IFERROR(AVERAGEIFS(INDEX(AA, 0, $J7),  INDIRECT($J$1 &amp; "!$V$2") : INDIRECT($J$1 &amp; "!$V$156"), O$1), 0)</f>
        <v>-2.0776537356206899</v>
      </c>
      <c r="Q7" s="2"/>
      <c r="R7">
        <f t="shared" ca="1" si="1"/>
        <v>2.6317375296514123</v>
      </c>
      <c r="S7">
        <f t="shared" ca="1" si="0"/>
        <v>1.8346208500808381</v>
      </c>
      <c r="T7">
        <f t="shared" ca="1" si="0"/>
        <v>2.9104476251131119</v>
      </c>
      <c r="U7">
        <f t="shared" ca="1" si="0"/>
        <v>1.4985187781798797</v>
      </c>
      <c r="V7" t="str">
        <f t="shared" ca="1" si="2"/>
        <v>C4</v>
      </c>
      <c r="W7">
        <v>7</v>
      </c>
      <c r="X7" t="str">
        <f t="shared" ca="1" si="3"/>
        <v>C4</v>
      </c>
      <c r="Y7">
        <f t="shared" ca="1" si="4"/>
        <v>0</v>
      </c>
    </row>
    <row r="8" spans="1:25" x14ac:dyDescent="0.25">
      <c r="A8" t="s">
        <v>9</v>
      </c>
      <c r="B8" s="4">
        <v>7.7583333000000004E-2</v>
      </c>
      <c r="C8" s="4">
        <v>2.2814999999999999</v>
      </c>
      <c r="D8" s="4">
        <v>0.45137500000000003</v>
      </c>
      <c r="E8" s="4">
        <v>-0.11125</v>
      </c>
      <c r="F8" s="4">
        <v>0.28399999999999997</v>
      </c>
      <c r="G8" s="4">
        <v>-2.54575</v>
      </c>
      <c r="H8" s="4">
        <v>-1.063166667</v>
      </c>
      <c r="J8" s="5">
        <v>8</v>
      </c>
      <c r="K8" t="str">
        <f>H1</f>
        <v>F7</v>
      </c>
      <c r="L8" s="3">
        <f ca="1">IFERROR(AVERAGEIFS(INDEX(AA, 0, $J8),  INDIRECT($J$1 &amp; "!$V$2") : INDIRECT($J$1 &amp; "!$V$156"), L$1), 0)</f>
        <v>-0.9275095238285711</v>
      </c>
      <c r="M8" s="3">
        <f ca="1">IFERROR(AVERAGEIFS(INDEX(AA, 0, $J8),  INDIRECT($J$1 &amp; "!$V$2") : INDIRECT($J$1 &amp; "!$V$156"), M$1), 0)</f>
        <v>-0.4304590163606557</v>
      </c>
      <c r="N8" s="3">
        <f ca="1">IFERROR(AVERAGEIFS(INDEX(AA, 0, $J8),  INDIRECT($J$1 &amp; "!$V$2") : INDIRECT($J$1 &amp; "!$V$156"), N$1), 0)</f>
        <v>0.83683333299999996</v>
      </c>
      <c r="O8" s="3">
        <f ca="1">IFERROR(AVERAGEIFS(INDEX(AA, 0, $J8),  INDIRECT($J$1 &amp; "!$V$2") : INDIRECT($J$1 &amp; "!$V$156"), O$1), 0)</f>
        <v>-0.52254310351724143</v>
      </c>
      <c r="Q8" s="2"/>
      <c r="R8">
        <f t="shared" ca="1" si="1"/>
        <v>0.89327983789967047</v>
      </c>
      <c r="S8">
        <f t="shared" ca="1" si="0"/>
        <v>1.9760294763162445</v>
      </c>
      <c r="T8">
        <f t="shared" ca="1" si="0"/>
        <v>4.0064227353518804</v>
      </c>
      <c r="U8">
        <f t="shared" ca="1" si="0"/>
        <v>2.9120635226731659</v>
      </c>
      <c r="V8" t="str">
        <f t="shared" ca="1" si="2"/>
        <v>C1</v>
      </c>
      <c r="W8">
        <v>8</v>
      </c>
      <c r="X8" t="str">
        <f t="shared" ca="1" si="3"/>
        <v>C1</v>
      </c>
      <c r="Y8">
        <f t="shared" ca="1" si="4"/>
        <v>0</v>
      </c>
    </row>
    <row r="9" spans="1:25" x14ac:dyDescent="0.25">
      <c r="A9" t="s">
        <v>10</v>
      </c>
      <c r="B9" s="4">
        <v>0.58758333299999999</v>
      </c>
      <c r="C9" s="4">
        <v>0.56850000000000001</v>
      </c>
      <c r="D9" s="4">
        <v>0.80825000000000002</v>
      </c>
      <c r="E9" s="4">
        <v>-1.6612499999999999</v>
      </c>
      <c r="F9" s="4">
        <v>1.0734999999999999</v>
      </c>
      <c r="G9" s="4">
        <v>-2.06175</v>
      </c>
      <c r="H9" s="4">
        <v>-0.828333333</v>
      </c>
      <c r="L9" s="2"/>
      <c r="M9" s="2"/>
      <c r="N9" s="2"/>
      <c r="O9" s="2"/>
      <c r="Q9" s="2"/>
      <c r="R9">
        <f t="shared" ca="1" si="1"/>
        <v>2.4487290869935845</v>
      </c>
      <c r="S9">
        <f t="shared" ca="1" si="0"/>
        <v>1.5845501656759911</v>
      </c>
      <c r="T9">
        <f t="shared" ca="1" si="0"/>
        <v>2.5620215238955351</v>
      </c>
      <c r="U9">
        <f t="shared" ca="1" si="0"/>
        <v>2.5558967670787776</v>
      </c>
      <c r="V9" t="str">
        <f t="shared" ca="1" si="2"/>
        <v>C2</v>
      </c>
      <c r="W9">
        <v>9</v>
      </c>
      <c r="X9" t="str">
        <f t="shared" ca="1" si="3"/>
        <v>C2</v>
      </c>
      <c r="Y9">
        <f t="shared" ca="1" si="4"/>
        <v>0</v>
      </c>
    </row>
    <row r="10" spans="1:25" x14ac:dyDescent="0.25">
      <c r="A10" t="s">
        <v>11</v>
      </c>
      <c r="B10" s="4">
        <v>-0.77</v>
      </c>
      <c r="C10" s="4">
        <v>0.74124999999999996</v>
      </c>
      <c r="D10" s="4">
        <v>1.5640000000000001</v>
      </c>
      <c r="E10" s="4">
        <v>-2.9842499999999998</v>
      </c>
      <c r="F10" s="4">
        <v>-1.5688333329999999</v>
      </c>
      <c r="G10" s="4">
        <v>-1.246</v>
      </c>
      <c r="H10" s="4">
        <v>-0.63449999999999995</v>
      </c>
      <c r="J10" t="s">
        <v>172</v>
      </c>
      <c r="K10">
        <f ca="1">SUM(Y2:Y156)</f>
        <v>0</v>
      </c>
      <c r="L10" s="2"/>
      <c r="M10" s="2"/>
      <c r="N10" s="2"/>
      <c r="O10" s="2"/>
      <c r="Q10" s="2"/>
      <c r="R10">
        <f t="shared" ca="1" si="1"/>
        <v>3.5534396474717904</v>
      </c>
      <c r="S10">
        <f t="shared" ca="1" si="0"/>
        <v>2.5699160872601361</v>
      </c>
      <c r="T10">
        <f t="shared" ca="1" si="0"/>
        <v>3.6468691842726244</v>
      </c>
      <c r="U10">
        <f t="shared" ca="1" si="0"/>
        <v>1.478994935740217</v>
      </c>
      <c r="V10" t="str">
        <f t="shared" ca="1" si="2"/>
        <v>C4</v>
      </c>
      <c r="W10">
        <v>10</v>
      </c>
      <c r="X10" t="str">
        <f t="shared" ca="1" si="3"/>
        <v>C4</v>
      </c>
      <c r="Y10">
        <f t="shared" ca="1" si="4"/>
        <v>0</v>
      </c>
    </row>
    <row r="11" spans="1:25" x14ac:dyDescent="0.25">
      <c r="A11" t="s">
        <v>12</v>
      </c>
      <c r="B11" s="4">
        <v>-0.824333333</v>
      </c>
      <c r="C11" s="4">
        <v>2.2149999999999999</v>
      </c>
      <c r="D11" s="4">
        <v>0.81937499999999996</v>
      </c>
      <c r="E11" s="4">
        <v>-1.8460000000000001</v>
      </c>
      <c r="F11" s="4">
        <v>-0.86199999999999999</v>
      </c>
      <c r="G11" s="4">
        <v>-1.7264999999999999</v>
      </c>
      <c r="H11" s="4">
        <v>-0.91449999999999998</v>
      </c>
      <c r="L11" s="2"/>
      <c r="M11" s="2"/>
      <c r="N11" s="2"/>
      <c r="O11" s="2"/>
      <c r="Q11" s="2"/>
      <c r="R11">
        <f t="shared" ca="1" si="1"/>
        <v>1.8540468823477407</v>
      </c>
      <c r="S11">
        <f t="shared" ca="1" si="0"/>
        <v>1.6537104518150072</v>
      </c>
      <c r="T11">
        <f t="shared" ca="1" si="0"/>
        <v>4.0091828016848741</v>
      </c>
      <c r="U11">
        <f t="shared" ca="1" si="0"/>
        <v>1.3937295041358932</v>
      </c>
      <c r="V11" t="str">
        <f t="shared" ca="1" si="2"/>
        <v>C4</v>
      </c>
      <c r="W11">
        <v>11</v>
      </c>
      <c r="X11" t="str">
        <f t="shared" ca="1" si="3"/>
        <v>C4</v>
      </c>
      <c r="Y11">
        <f t="shared" ca="1" si="4"/>
        <v>0</v>
      </c>
    </row>
    <row r="12" spans="1:25" x14ac:dyDescent="0.25">
      <c r="A12" t="s">
        <v>0</v>
      </c>
      <c r="B12" s="4">
        <v>-0.73275000000000001</v>
      </c>
      <c r="C12" s="4">
        <v>0.52575000000000005</v>
      </c>
      <c r="D12" s="4">
        <v>0.89175000000000004</v>
      </c>
      <c r="E12" s="4">
        <v>-1.59775</v>
      </c>
      <c r="F12" s="4">
        <v>-1.6904999999999999</v>
      </c>
      <c r="G12" s="4">
        <v>-2.1124999999999998</v>
      </c>
      <c r="H12" s="4">
        <v>-0.85616666699999999</v>
      </c>
      <c r="L12" s="2"/>
      <c r="M12" s="2"/>
      <c r="N12" s="2"/>
      <c r="O12" s="2"/>
      <c r="Q12" s="2"/>
      <c r="R12">
        <f t="shared" ca="1" si="1"/>
        <v>2.5413455223411279</v>
      </c>
      <c r="S12">
        <f t="shared" ca="1" si="0"/>
        <v>1.8721210772127772</v>
      </c>
      <c r="T12">
        <f t="shared" ca="1" si="0"/>
        <v>3.2738873834253641</v>
      </c>
      <c r="U12">
        <f t="shared" ca="1" si="0"/>
        <v>0.98554980650669111</v>
      </c>
      <c r="V12" t="str">
        <f t="shared" ca="1" si="2"/>
        <v>C4</v>
      </c>
      <c r="W12">
        <v>12</v>
      </c>
      <c r="X12" t="str">
        <f t="shared" ca="1" si="3"/>
        <v>C4</v>
      </c>
      <c r="Y12">
        <f t="shared" ca="1" si="4"/>
        <v>0</v>
      </c>
    </row>
    <row r="13" spans="1:25" x14ac:dyDescent="0.25">
      <c r="A13" t="s">
        <v>13</v>
      </c>
      <c r="B13" s="4">
        <v>-0.98116666699999999</v>
      </c>
      <c r="C13" s="4">
        <v>2.0939999999999999</v>
      </c>
      <c r="D13" s="4">
        <v>0.81812499999999999</v>
      </c>
      <c r="E13" s="4">
        <v>-1.0482499999999999</v>
      </c>
      <c r="F13" s="4">
        <v>-1.4524999999999999</v>
      </c>
      <c r="G13" s="4">
        <v>-2.16825</v>
      </c>
      <c r="H13" s="4">
        <v>-0.80316666699999995</v>
      </c>
      <c r="L13" s="2"/>
      <c r="M13" s="2"/>
      <c r="N13" s="2"/>
      <c r="O13" s="2"/>
      <c r="Q13" s="2"/>
      <c r="R13">
        <f t="shared" ca="1" si="1"/>
        <v>1.6817305402760927</v>
      </c>
      <c r="S13">
        <f t="shared" ca="1" si="0"/>
        <v>1.9182876841901484</v>
      </c>
      <c r="T13">
        <f t="shared" ca="1" si="0"/>
        <v>4.0979008334854132</v>
      </c>
      <c r="U13">
        <f t="shared" ca="1" si="0"/>
        <v>1.6052050200289179</v>
      </c>
      <c r="V13" t="str">
        <f t="shared" ca="1" si="2"/>
        <v>C4</v>
      </c>
      <c r="W13">
        <v>13</v>
      </c>
      <c r="X13" t="str">
        <f t="shared" ca="1" si="3"/>
        <v>C4</v>
      </c>
      <c r="Y13">
        <f t="shared" ca="1" si="4"/>
        <v>0</v>
      </c>
    </row>
    <row r="14" spans="1:25" x14ac:dyDescent="0.25">
      <c r="A14" t="s">
        <v>14</v>
      </c>
      <c r="B14" s="4">
        <v>-0.143916667</v>
      </c>
      <c r="C14" s="4">
        <v>0.63075000000000003</v>
      </c>
      <c r="D14" s="4">
        <v>0.793875</v>
      </c>
      <c r="E14" s="4">
        <v>-1.52275</v>
      </c>
      <c r="F14" s="4">
        <v>-0.197833333</v>
      </c>
      <c r="G14" s="4">
        <v>-1.8672500000000001</v>
      </c>
      <c r="H14" s="4">
        <v>-0.12866666700000001</v>
      </c>
      <c r="L14" s="2"/>
      <c r="M14" s="2"/>
      <c r="N14" s="2"/>
      <c r="O14" s="2"/>
      <c r="Q14" s="2"/>
      <c r="R14">
        <f t="shared" ca="1" si="1"/>
        <v>2.0234119075149568</v>
      </c>
      <c r="S14">
        <f t="shared" ca="1" si="0"/>
        <v>0.7052723974602777</v>
      </c>
      <c r="T14">
        <f t="shared" ca="1" si="0"/>
        <v>2.078157377617623</v>
      </c>
      <c r="U14">
        <f t="shared" ca="1" si="0"/>
        <v>1.2956299284695971</v>
      </c>
      <c r="V14" t="str">
        <f t="shared" ca="1" si="2"/>
        <v>C2</v>
      </c>
      <c r="W14">
        <v>14</v>
      </c>
      <c r="X14" t="str">
        <f t="shared" ca="1" si="3"/>
        <v>C2</v>
      </c>
      <c r="Y14">
        <f t="shared" ca="1" si="4"/>
        <v>0</v>
      </c>
    </row>
    <row r="15" spans="1:25" x14ac:dyDescent="0.25">
      <c r="A15" t="s">
        <v>15</v>
      </c>
      <c r="B15" s="4">
        <v>-0.47825000000000001</v>
      </c>
      <c r="C15" s="4">
        <v>1.75925</v>
      </c>
      <c r="D15" s="4">
        <v>0.84962499999999996</v>
      </c>
      <c r="E15" s="4">
        <v>-1.2685</v>
      </c>
      <c r="F15" s="4">
        <v>-1.1335</v>
      </c>
      <c r="G15" s="4">
        <v>-2.0142500000000001</v>
      </c>
      <c r="H15" s="4">
        <v>-0.69183333300000005</v>
      </c>
      <c r="L15" s="2"/>
      <c r="M15" s="2"/>
      <c r="N15" s="2"/>
      <c r="O15" s="2"/>
      <c r="Q15" s="2"/>
      <c r="R15">
        <f t="shared" ca="1" si="1"/>
        <v>1.5076003553892068</v>
      </c>
      <c r="S15">
        <f t="shared" ca="1" si="0"/>
        <v>1.3001742546123825</v>
      </c>
      <c r="T15">
        <f t="shared" ca="1" si="0"/>
        <v>3.4874791150163658</v>
      </c>
      <c r="U15">
        <f t="shared" ca="1" si="0"/>
        <v>1.1015600315646901</v>
      </c>
      <c r="V15" t="str">
        <f t="shared" ca="1" si="2"/>
        <v>C4</v>
      </c>
      <c r="W15">
        <v>15</v>
      </c>
      <c r="X15" t="str">
        <f t="shared" ca="1" si="3"/>
        <v>C4</v>
      </c>
      <c r="Y15">
        <f t="shared" ca="1" si="4"/>
        <v>0</v>
      </c>
    </row>
    <row r="16" spans="1:25" x14ac:dyDescent="0.25">
      <c r="A16" t="s">
        <v>16</v>
      </c>
      <c r="B16" s="4">
        <v>-1.38025</v>
      </c>
      <c r="C16" s="4">
        <v>1.706</v>
      </c>
      <c r="D16" s="4">
        <v>1.103</v>
      </c>
      <c r="E16" s="4">
        <v>-2.7247499999999998</v>
      </c>
      <c r="F16" s="4">
        <v>-0.91783333300000003</v>
      </c>
      <c r="G16" s="4">
        <v>-1.3202499999999999</v>
      </c>
      <c r="H16" s="4">
        <v>-0.93083333300000004</v>
      </c>
      <c r="L16" s="2"/>
      <c r="M16" s="2"/>
      <c r="N16" s="2"/>
      <c r="O16" s="2"/>
      <c r="Q16" s="2"/>
      <c r="R16">
        <f t="shared" ca="1" si="1"/>
        <v>2.8780114492283686</v>
      </c>
      <c r="S16">
        <f t="shared" ca="1" si="0"/>
        <v>2.2659993256040782</v>
      </c>
      <c r="T16">
        <f t="shared" ca="1" si="0"/>
        <v>4.1704940794900365</v>
      </c>
      <c r="U16">
        <f t="shared" ca="1" si="0"/>
        <v>1.5576366272188</v>
      </c>
      <c r="V16" t="str">
        <f t="shared" ca="1" si="2"/>
        <v>C4</v>
      </c>
      <c r="W16">
        <v>16</v>
      </c>
      <c r="X16" t="str">
        <f t="shared" ca="1" si="3"/>
        <v>C4</v>
      </c>
      <c r="Y16">
        <f t="shared" ca="1" si="4"/>
        <v>0</v>
      </c>
    </row>
    <row r="17" spans="1:25" x14ac:dyDescent="0.25">
      <c r="A17" t="s">
        <v>17</v>
      </c>
      <c r="B17" s="4">
        <v>-1.2419166669999999</v>
      </c>
      <c r="C17" s="4">
        <v>1.04125</v>
      </c>
      <c r="D17" s="4">
        <v>1.753125</v>
      </c>
      <c r="E17" s="4">
        <v>-1.7555000000000001</v>
      </c>
      <c r="F17" s="4">
        <v>-1.2375</v>
      </c>
      <c r="G17" s="4">
        <v>-2.6629999999999998</v>
      </c>
      <c r="H17" s="4">
        <v>-0.66483333300000003</v>
      </c>
      <c r="L17" s="2"/>
      <c r="M17" s="2"/>
      <c r="N17" s="2"/>
      <c r="O17" s="2"/>
      <c r="Q17" s="2"/>
      <c r="R17">
        <f t="shared" ca="1" si="1"/>
        <v>2.3995805958417442</v>
      </c>
      <c r="S17">
        <f t="shared" ca="1" si="0"/>
        <v>1.9306585385173312</v>
      </c>
      <c r="T17">
        <f t="shared" ca="1" si="0"/>
        <v>3.6658857979657524</v>
      </c>
      <c r="U17">
        <f t="shared" ca="1" si="0"/>
        <v>1.1631286720808858</v>
      </c>
      <c r="V17" t="str">
        <f t="shared" ca="1" si="2"/>
        <v>C4</v>
      </c>
      <c r="W17">
        <v>17</v>
      </c>
      <c r="X17" t="str">
        <f t="shared" ca="1" si="3"/>
        <v>C4</v>
      </c>
      <c r="Y17">
        <f t="shared" ca="1" si="4"/>
        <v>0</v>
      </c>
    </row>
    <row r="18" spans="1:25" x14ac:dyDescent="0.25">
      <c r="A18" t="s">
        <v>18</v>
      </c>
      <c r="B18" s="4">
        <v>-1.195333333</v>
      </c>
      <c r="C18" s="4">
        <v>0.64075000000000004</v>
      </c>
      <c r="D18" s="4">
        <v>1.9517500000000001</v>
      </c>
      <c r="E18" s="4">
        <v>-1.63025</v>
      </c>
      <c r="F18" s="4">
        <v>-1.263833333</v>
      </c>
      <c r="G18" s="4">
        <v>-1.766</v>
      </c>
      <c r="H18" s="4">
        <v>-0.32983333300000001</v>
      </c>
      <c r="L18" s="2"/>
      <c r="M18" s="2"/>
      <c r="N18" s="2"/>
      <c r="O18" s="2"/>
      <c r="Q18" s="2"/>
      <c r="R18">
        <f t="shared" ca="1" si="1"/>
        <v>2.7081515326226211</v>
      </c>
      <c r="S18">
        <f t="shared" ca="1" si="1"/>
        <v>2.0543449885998974</v>
      </c>
      <c r="T18">
        <f t="shared" ca="1" si="1"/>
        <v>3.1169101361854423</v>
      </c>
      <c r="U18">
        <f t="shared" ca="1" si="1"/>
        <v>1.2628567532098922</v>
      </c>
      <c r="V18" t="str">
        <f t="shared" ca="1" si="2"/>
        <v>C4</v>
      </c>
      <c r="W18">
        <v>18</v>
      </c>
      <c r="X18" t="str">
        <f t="shared" ca="1" si="3"/>
        <v>C4</v>
      </c>
      <c r="Y18">
        <f t="shared" ca="1" si="4"/>
        <v>0</v>
      </c>
    </row>
    <row r="19" spans="1:25" x14ac:dyDescent="0.25">
      <c r="A19" t="s">
        <v>19</v>
      </c>
      <c r="B19" s="4">
        <v>-1.3301666670000001</v>
      </c>
      <c r="C19" s="4">
        <v>1.1232500000000001</v>
      </c>
      <c r="D19" s="4">
        <v>1.3476250000000001</v>
      </c>
      <c r="E19" s="4">
        <v>-2.0982500000000002</v>
      </c>
      <c r="F19" s="4">
        <v>-1.8863333330000001</v>
      </c>
      <c r="G19" s="4">
        <v>-2.5405000000000002</v>
      </c>
      <c r="H19" s="4">
        <v>-0.304666667</v>
      </c>
      <c r="L19" s="2"/>
      <c r="M19" s="2"/>
      <c r="N19" s="2"/>
      <c r="O19" s="2"/>
      <c r="Q19" s="2"/>
      <c r="R19">
        <f t="shared" ca="1" si="1"/>
        <v>2.913994117558572</v>
      </c>
      <c r="S19">
        <f t="shared" ca="1" si="1"/>
        <v>2.3265958978569379</v>
      </c>
      <c r="T19">
        <f t="shared" ca="1" si="1"/>
        <v>3.9203241155625843</v>
      </c>
      <c r="U19">
        <f t="shared" ca="1" si="1"/>
        <v>1.2516867065340842</v>
      </c>
      <c r="V19" t="str">
        <f t="shared" ca="1" si="2"/>
        <v>C4</v>
      </c>
      <c r="W19">
        <v>19</v>
      </c>
      <c r="X19" t="str">
        <f t="shared" ca="1" si="3"/>
        <v>C4</v>
      </c>
      <c r="Y19">
        <f t="shared" ca="1" si="4"/>
        <v>0</v>
      </c>
    </row>
    <row r="20" spans="1:25" x14ac:dyDescent="0.25">
      <c r="A20" t="s">
        <v>20</v>
      </c>
      <c r="B20" s="4">
        <v>-0.15716666700000001</v>
      </c>
      <c r="C20" s="4">
        <v>0.64949999999999997</v>
      </c>
      <c r="D20" s="4">
        <v>0.93725000000000003</v>
      </c>
      <c r="E20" s="4">
        <v>-1.9410000000000001</v>
      </c>
      <c r="F20" s="4">
        <v>-1.417333333</v>
      </c>
      <c r="G20" s="4">
        <v>-1.43675</v>
      </c>
      <c r="H20" s="4">
        <v>-0.16016666700000001</v>
      </c>
      <c r="L20" s="2"/>
      <c r="M20" s="2"/>
      <c r="N20" s="2"/>
      <c r="O20" s="2"/>
      <c r="Q20" s="2"/>
      <c r="R20">
        <f t="shared" ca="1" si="1"/>
        <v>2.7776905727193544</v>
      </c>
      <c r="S20">
        <f t="shared" ca="1" si="1"/>
        <v>1.7207840613589085</v>
      </c>
      <c r="T20">
        <f t="shared" ca="1" si="1"/>
        <v>2.6340415294509985</v>
      </c>
      <c r="U20">
        <f t="shared" ca="1" si="1"/>
        <v>0.98530360979158726</v>
      </c>
      <c r="V20" t="str">
        <f t="shared" ca="1" si="2"/>
        <v>C4</v>
      </c>
      <c r="W20">
        <v>20</v>
      </c>
      <c r="X20" t="str">
        <f t="shared" ca="1" si="3"/>
        <v>C4</v>
      </c>
      <c r="Y20">
        <f t="shared" ca="1" si="4"/>
        <v>0</v>
      </c>
    </row>
    <row r="21" spans="1:25" x14ac:dyDescent="0.25">
      <c r="A21" t="s">
        <v>21</v>
      </c>
      <c r="B21" s="4">
        <v>-0.145916667</v>
      </c>
      <c r="C21" s="4">
        <v>0.55449999999999999</v>
      </c>
      <c r="D21" s="4">
        <v>0.58087500000000003</v>
      </c>
      <c r="E21" s="4">
        <v>-2.5030000000000001</v>
      </c>
      <c r="F21" s="4">
        <v>-0.43833333299999999</v>
      </c>
      <c r="G21" s="4">
        <v>-1.43475</v>
      </c>
      <c r="H21" s="4">
        <v>-0.68400000000000005</v>
      </c>
      <c r="L21" s="2"/>
      <c r="M21" s="2"/>
      <c r="N21" s="2"/>
      <c r="O21" s="2"/>
      <c r="Q21" s="2"/>
      <c r="R21">
        <f t="shared" ca="1" si="1"/>
        <v>2.7799923247430609</v>
      </c>
      <c r="S21">
        <f t="shared" ca="1" si="1"/>
        <v>1.514923207792912</v>
      </c>
      <c r="T21">
        <f t="shared" ca="1" si="1"/>
        <v>2.7663935586330526</v>
      </c>
      <c r="U21">
        <f t="shared" ca="1" si="1"/>
        <v>1.3294314112997352</v>
      </c>
      <c r="V21" t="str">
        <f t="shared" ca="1" si="2"/>
        <v>C4</v>
      </c>
      <c r="W21">
        <v>21</v>
      </c>
      <c r="X21" t="str">
        <f t="shared" ca="1" si="3"/>
        <v>C4</v>
      </c>
      <c r="Y21">
        <f t="shared" ca="1" si="4"/>
        <v>0</v>
      </c>
    </row>
    <row r="22" spans="1:25" x14ac:dyDescent="0.25">
      <c r="A22" t="s">
        <v>22</v>
      </c>
      <c r="B22" s="4">
        <v>-1.238</v>
      </c>
      <c r="C22" s="4">
        <v>0.56425000000000003</v>
      </c>
      <c r="D22" s="4">
        <v>0.68987500000000002</v>
      </c>
      <c r="E22" s="4">
        <v>-0.31724999999999998</v>
      </c>
      <c r="F22" s="4">
        <v>0.41099999999999998</v>
      </c>
      <c r="G22" s="4">
        <v>-1.79</v>
      </c>
      <c r="H22" s="4">
        <v>-1.121166667</v>
      </c>
      <c r="L22" s="2"/>
      <c r="M22" s="2"/>
      <c r="N22" s="2"/>
      <c r="O22" s="2"/>
      <c r="Q22" s="2"/>
      <c r="R22">
        <f t="shared" ca="1" si="1"/>
        <v>1.7412364012177919</v>
      </c>
      <c r="S22">
        <f t="shared" ca="1" si="1"/>
        <v>1.8975247871539302</v>
      </c>
      <c r="T22">
        <f t="shared" ca="1" si="1"/>
        <v>3.2025738329629934</v>
      </c>
      <c r="U22">
        <f t="shared" ca="1" si="1"/>
        <v>2.5486209277696608</v>
      </c>
      <c r="V22" t="str">
        <f t="shared" ca="1" si="2"/>
        <v>C1</v>
      </c>
      <c r="W22">
        <v>22</v>
      </c>
      <c r="X22" t="str">
        <f t="shared" ca="1" si="3"/>
        <v>C1</v>
      </c>
      <c r="Y22">
        <f t="shared" ca="1" si="4"/>
        <v>0</v>
      </c>
    </row>
    <row r="23" spans="1:25" x14ac:dyDescent="0.25">
      <c r="A23" t="s">
        <v>23</v>
      </c>
      <c r="B23" s="4">
        <v>-0.39733333300000001</v>
      </c>
      <c r="C23" s="4">
        <v>-9.1499999999999998E-2</v>
      </c>
      <c r="D23" s="4">
        <v>1.401875</v>
      </c>
      <c r="E23" s="4">
        <v>-2.55125</v>
      </c>
      <c r="F23" s="4">
        <v>-0.39500000000000002</v>
      </c>
      <c r="G23" s="4">
        <v>-1.8405</v>
      </c>
      <c r="H23" s="4">
        <v>-0.44900000000000001</v>
      </c>
      <c r="L23" s="2"/>
      <c r="M23" s="2"/>
      <c r="N23" s="2"/>
      <c r="O23" s="2"/>
      <c r="Q23" s="2"/>
      <c r="R23">
        <f t="shared" ca="1" si="1"/>
        <v>3.1391702146895359</v>
      </c>
      <c r="S23">
        <f t="shared" ca="1" si="1"/>
        <v>1.8449047497094955</v>
      </c>
      <c r="T23">
        <f t="shared" ca="1" si="1"/>
        <v>2.4698127054140722</v>
      </c>
      <c r="U23">
        <f t="shared" ca="1" si="1"/>
        <v>1.4806854930694537</v>
      </c>
      <c r="V23" t="str">
        <f t="shared" ca="1" si="2"/>
        <v>C4</v>
      </c>
      <c r="W23">
        <v>23</v>
      </c>
      <c r="X23" t="str">
        <f t="shared" ca="1" si="3"/>
        <v>C4</v>
      </c>
      <c r="Y23">
        <f t="shared" ca="1" si="4"/>
        <v>0</v>
      </c>
    </row>
    <row r="24" spans="1:25" x14ac:dyDescent="0.25">
      <c r="A24" t="s">
        <v>24</v>
      </c>
      <c r="B24" s="4">
        <v>-0.48899999999999999</v>
      </c>
      <c r="C24" s="4">
        <v>0.89849999999999997</v>
      </c>
      <c r="D24" s="4">
        <v>0.729375</v>
      </c>
      <c r="E24" s="4">
        <v>-1.3365</v>
      </c>
      <c r="F24" s="4">
        <v>-0.53583333300000002</v>
      </c>
      <c r="G24" s="4">
        <v>-1.8594999999999999</v>
      </c>
      <c r="H24" s="4">
        <v>-0.52149999999999996</v>
      </c>
      <c r="L24" s="2"/>
      <c r="M24" s="2"/>
      <c r="N24" s="2"/>
      <c r="O24" s="2"/>
      <c r="Q24" s="2"/>
      <c r="R24">
        <f t="shared" ca="1" si="1"/>
        <v>1.6508151489557212</v>
      </c>
      <c r="S24">
        <f t="shared" ca="1" si="1"/>
        <v>0.70567612775573907</v>
      </c>
      <c r="T24">
        <f t="shared" ca="1" si="1"/>
        <v>2.6350154625182518</v>
      </c>
      <c r="U24">
        <f t="shared" ca="1" si="1"/>
        <v>0.99928547687971803</v>
      </c>
      <c r="V24" t="str">
        <f t="shared" ca="1" si="2"/>
        <v>C2</v>
      </c>
      <c r="W24">
        <v>24</v>
      </c>
      <c r="X24" t="str">
        <f t="shared" ca="1" si="3"/>
        <v>C2</v>
      </c>
      <c r="Y24">
        <f t="shared" ca="1" si="4"/>
        <v>0</v>
      </c>
    </row>
    <row r="25" spans="1:25" x14ac:dyDescent="0.25">
      <c r="A25" t="s">
        <v>25</v>
      </c>
      <c r="B25" s="4">
        <v>-1.1153333329999999</v>
      </c>
      <c r="C25" s="4">
        <v>1.01</v>
      </c>
      <c r="D25" s="4">
        <v>1.266</v>
      </c>
      <c r="E25" s="4">
        <v>-1.4195</v>
      </c>
      <c r="F25" s="4">
        <v>-0.53733333299999997</v>
      </c>
      <c r="G25" s="4">
        <v>-1.6990000000000001</v>
      </c>
      <c r="H25" s="4">
        <v>-1.08</v>
      </c>
      <c r="L25" s="2"/>
      <c r="M25" s="2"/>
      <c r="N25" s="2"/>
      <c r="O25" s="2"/>
      <c r="Q25" s="2"/>
      <c r="R25">
        <f t="shared" ca="1" si="1"/>
        <v>1.8108539487468747</v>
      </c>
      <c r="S25">
        <f t="shared" ca="1" si="1"/>
        <v>1.398889596555259</v>
      </c>
      <c r="T25">
        <f t="shared" ca="1" si="1"/>
        <v>3.2660636516301835</v>
      </c>
      <c r="U25">
        <f t="shared" ca="1" si="1"/>
        <v>1.2175930293733082</v>
      </c>
      <c r="V25" t="str">
        <f t="shared" ca="1" si="2"/>
        <v>C4</v>
      </c>
      <c r="W25">
        <v>25</v>
      </c>
      <c r="X25" t="str">
        <f t="shared" ca="1" si="3"/>
        <v>C4</v>
      </c>
      <c r="Y25">
        <f t="shared" ca="1" si="4"/>
        <v>0</v>
      </c>
    </row>
    <row r="26" spans="1:25" x14ac:dyDescent="0.25">
      <c r="A26" t="s">
        <v>26</v>
      </c>
      <c r="B26" s="4">
        <v>9.7000000000000003E-2</v>
      </c>
      <c r="C26" s="4">
        <v>0.2465</v>
      </c>
      <c r="D26" s="4">
        <v>1.484375</v>
      </c>
      <c r="E26" s="4">
        <v>-2.0742500000000001</v>
      </c>
      <c r="F26" s="4">
        <v>-1.1423333330000001</v>
      </c>
      <c r="G26" s="4">
        <v>-1.7675000000000001</v>
      </c>
      <c r="H26" s="4">
        <v>-0.318</v>
      </c>
      <c r="L26" s="2"/>
      <c r="M26" s="2"/>
      <c r="N26" s="2"/>
      <c r="O26" s="2"/>
      <c r="Q26" s="2"/>
      <c r="R26">
        <f t="shared" ca="1" si="1"/>
        <v>2.9326586759733249</v>
      </c>
      <c r="S26">
        <f t="shared" ca="1" si="1"/>
        <v>1.7623161106413503</v>
      </c>
      <c r="T26">
        <f t="shared" ca="1" si="1"/>
        <v>2.3623471220282761</v>
      </c>
      <c r="U26">
        <f t="shared" ca="1" si="1"/>
        <v>1.1418930173013606</v>
      </c>
      <c r="V26" t="str">
        <f t="shared" ca="1" si="2"/>
        <v>C4</v>
      </c>
      <c r="W26">
        <v>26</v>
      </c>
      <c r="X26" t="str">
        <f t="shared" ca="1" si="3"/>
        <v>C4</v>
      </c>
      <c r="Y26">
        <f t="shared" ca="1" si="4"/>
        <v>0</v>
      </c>
    </row>
    <row r="27" spans="1:25" x14ac:dyDescent="0.25">
      <c r="A27" t="s">
        <v>27</v>
      </c>
      <c r="B27" s="4">
        <v>-0.69366666700000001</v>
      </c>
      <c r="C27" s="4">
        <v>1.13375</v>
      </c>
      <c r="D27" s="4">
        <v>1.2006250000000001</v>
      </c>
      <c r="E27" s="4">
        <v>-1.57125</v>
      </c>
      <c r="F27" s="4">
        <v>-1.3213333330000001</v>
      </c>
      <c r="G27" s="4">
        <v>-2.8287499999999999</v>
      </c>
      <c r="H27" s="4">
        <v>-0.79933333299999998</v>
      </c>
      <c r="O27" s="1"/>
      <c r="Q27" s="2"/>
      <c r="R27">
        <f t="shared" ca="1" si="1"/>
        <v>2.0449101399238914</v>
      </c>
      <c r="S27">
        <f t="shared" ca="1" si="1"/>
        <v>1.5842679354183664</v>
      </c>
      <c r="T27">
        <f t="shared" ca="1" si="1"/>
        <v>3.5490383040070324</v>
      </c>
      <c r="U27">
        <f t="shared" ca="1" si="1"/>
        <v>0.96713248187327483</v>
      </c>
      <c r="V27" t="str">
        <f t="shared" ca="1" si="2"/>
        <v>C4</v>
      </c>
      <c r="W27">
        <v>27</v>
      </c>
      <c r="X27" t="str">
        <f t="shared" ca="1" si="3"/>
        <v>C4</v>
      </c>
      <c r="Y27">
        <f t="shared" ca="1" si="4"/>
        <v>0</v>
      </c>
    </row>
    <row r="28" spans="1:25" x14ac:dyDescent="0.25">
      <c r="A28" t="s">
        <v>28</v>
      </c>
      <c r="B28" s="4">
        <v>-0.25866666700000002</v>
      </c>
      <c r="C28" s="4">
        <v>1.5545</v>
      </c>
      <c r="D28" s="4">
        <v>1.196625</v>
      </c>
      <c r="E28" s="4">
        <v>-1.68675</v>
      </c>
      <c r="F28" s="4">
        <v>-9.0999999999999998E-2</v>
      </c>
      <c r="G28" s="4">
        <v>-1.52925</v>
      </c>
      <c r="H28" s="4">
        <v>-0.234666667</v>
      </c>
      <c r="Q28" s="2"/>
      <c r="R28">
        <f t="shared" ca="1" si="1"/>
        <v>1.8043069958465738</v>
      </c>
      <c r="S28">
        <f t="shared" ca="1" si="1"/>
        <v>0.92406393632511585</v>
      </c>
      <c r="T28">
        <f t="shared" ca="1" si="1"/>
        <v>2.8074581678467525</v>
      </c>
      <c r="U28">
        <f t="shared" ca="1" si="1"/>
        <v>1.3734129687076206</v>
      </c>
      <c r="V28" t="str">
        <f t="shared" ca="1" si="2"/>
        <v>C2</v>
      </c>
      <c r="W28">
        <v>28</v>
      </c>
      <c r="X28" t="str">
        <f t="shared" ca="1" si="3"/>
        <v>C2</v>
      </c>
      <c r="Y28">
        <f t="shared" ca="1" si="4"/>
        <v>0</v>
      </c>
    </row>
    <row r="29" spans="1:25" x14ac:dyDescent="0.25">
      <c r="A29" t="s">
        <v>29</v>
      </c>
      <c r="B29" s="4">
        <v>-0.56974999999999998</v>
      </c>
      <c r="C29" s="4">
        <v>0.92474999999999996</v>
      </c>
      <c r="D29" s="4">
        <v>0.91300000000000003</v>
      </c>
      <c r="E29" s="4">
        <v>-1.99275</v>
      </c>
      <c r="F29" s="4">
        <v>-0.50849999999999995</v>
      </c>
      <c r="G29" s="4">
        <v>-2.2934999999999999</v>
      </c>
      <c r="H29" s="4">
        <v>-0.37483333299999999</v>
      </c>
      <c r="Q29" s="2"/>
      <c r="R29">
        <f t="shared" ca="1" si="1"/>
        <v>2.0448634583875669</v>
      </c>
      <c r="S29">
        <f t="shared" ca="1" si="1"/>
        <v>0.83671368441852678</v>
      </c>
      <c r="T29">
        <f t="shared" ca="1" si="1"/>
        <v>2.8515881648859001</v>
      </c>
      <c r="U29">
        <f t="shared" ca="1" si="1"/>
        <v>0.68376512406485135</v>
      </c>
      <c r="V29" t="str">
        <f t="shared" ca="1" si="2"/>
        <v>C4</v>
      </c>
      <c r="W29">
        <v>29</v>
      </c>
      <c r="X29" t="str">
        <f t="shared" ca="1" si="3"/>
        <v>C4</v>
      </c>
      <c r="Y29">
        <f t="shared" ca="1" si="4"/>
        <v>0</v>
      </c>
    </row>
    <row r="30" spans="1:25" x14ac:dyDescent="0.25">
      <c r="A30" t="s">
        <v>30</v>
      </c>
      <c r="B30" s="4">
        <v>0.43091666699999998</v>
      </c>
      <c r="C30" s="4">
        <v>0.79900000000000004</v>
      </c>
      <c r="D30" s="4">
        <v>0.42199999999999999</v>
      </c>
      <c r="E30" s="4">
        <v>-3.0002499999999999</v>
      </c>
      <c r="F30" s="4">
        <v>-2.113</v>
      </c>
      <c r="G30" s="4">
        <v>-2.6102500000000002</v>
      </c>
      <c r="H30" s="4">
        <v>0.21233333300000001</v>
      </c>
      <c r="Q30" s="2"/>
      <c r="R30">
        <f t="shared" ca="1" si="1"/>
        <v>3.8670733963859365</v>
      </c>
      <c r="S30">
        <f t="shared" ca="1" si="1"/>
        <v>2.7942329792491747</v>
      </c>
      <c r="T30">
        <f t="shared" ca="1" si="1"/>
        <v>3.7367748248667447</v>
      </c>
      <c r="U30">
        <f t="shared" ca="1" si="1"/>
        <v>2.0696214927029657</v>
      </c>
      <c r="V30" t="str">
        <f t="shared" ca="1" si="2"/>
        <v>C4</v>
      </c>
      <c r="W30">
        <v>30</v>
      </c>
      <c r="X30" t="str">
        <f t="shared" ca="1" si="3"/>
        <v>C4</v>
      </c>
      <c r="Y30">
        <f t="shared" ca="1" si="4"/>
        <v>0</v>
      </c>
    </row>
    <row r="31" spans="1:25" x14ac:dyDescent="0.25">
      <c r="A31" t="s">
        <v>31</v>
      </c>
      <c r="B31" s="4">
        <v>-0.40308333299999999</v>
      </c>
      <c r="C31" s="4">
        <v>0.5575</v>
      </c>
      <c r="D31" s="4">
        <v>1.4878750000000001</v>
      </c>
      <c r="E31" s="4">
        <v>-1.9915</v>
      </c>
      <c r="F31" s="4">
        <v>-1.2651666669999999</v>
      </c>
      <c r="G31" s="4">
        <v>-2.3627500000000001</v>
      </c>
      <c r="H31" s="4">
        <v>3.4500000000000003E-2</v>
      </c>
      <c r="Q31" s="2"/>
      <c r="R31">
        <f t="shared" ca="1" si="1"/>
        <v>2.734007642472299</v>
      </c>
      <c r="S31">
        <f t="shared" ca="1" si="1"/>
        <v>1.6812899996322339</v>
      </c>
      <c r="T31">
        <f t="shared" ca="1" si="1"/>
        <v>2.7230403637249747</v>
      </c>
      <c r="U31">
        <f t="shared" ca="1" si="1"/>
        <v>0.89604382543770278</v>
      </c>
      <c r="V31" t="str">
        <f t="shared" ca="1" si="2"/>
        <v>C4</v>
      </c>
      <c r="W31">
        <v>31</v>
      </c>
      <c r="X31" t="str">
        <f t="shared" ca="1" si="3"/>
        <v>C4</v>
      </c>
      <c r="Y31">
        <f t="shared" ca="1" si="4"/>
        <v>0</v>
      </c>
    </row>
    <row r="32" spans="1:25" x14ac:dyDescent="0.25">
      <c r="A32" t="s">
        <v>32</v>
      </c>
      <c r="B32" s="4">
        <v>-0.149166667</v>
      </c>
      <c r="C32" s="4">
        <v>1.9652499999999999</v>
      </c>
      <c r="D32" s="4">
        <v>-8.1625000000000003E-2</v>
      </c>
      <c r="E32" s="4">
        <v>-1.9742500000000001</v>
      </c>
      <c r="F32" s="4">
        <v>-0.60099999999999998</v>
      </c>
      <c r="G32" s="4">
        <v>-2.6432500000000001</v>
      </c>
      <c r="H32" s="4">
        <v>-1.1583333330000001</v>
      </c>
      <c r="Q32" s="2"/>
      <c r="R32">
        <f t="shared" ca="1" si="1"/>
        <v>1.9735522858911778</v>
      </c>
      <c r="S32">
        <f t="shared" ca="1" si="1"/>
        <v>1.6477283517107726</v>
      </c>
      <c r="T32">
        <f t="shared" ca="1" si="1"/>
        <v>4.1060863759815138</v>
      </c>
      <c r="U32">
        <f t="shared" ca="1" si="1"/>
        <v>1.8529810506909552</v>
      </c>
      <c r="V32" t="str">
        <f t="shared" ca="1" si="2"/>
        <v>C2</v>
      </c>
      <c r="W32">
        <v>32</v>
      </c>
      <c r="X32" t="str">
        <f t="shared" ca="1" si="3"/>
        <v>C2</v>
      </c>
      <c r="Y32">
        <f t="shared" ca="1" si="4"/>
        <v>0</v>
      </c>
    </row>
    <row r="33" spans="1:25" x14ac:dyDescent="0.25">
      <c r="A33" t="s">
        <v>33</v>
      </c>
      <c r="B33" s="4">
        <v>0.21233333300000001</v>
      </c>
      <c r="C33" s="4">
        <v>0.81274999999999997</v>
      </c>
      <c r="D33" s="4">
        <v>0.13437499999999999</v>
      </c>
      <c r="E33" s="4">
        <v>-0.35249999999999998</v>
      </c>
      <c r="F33" s="4">
        <v>0.57183333300000005</v>
      </c>
      <c r="G33" s="4">
        <v>-2.48075</v>
      </c>
      <c r="H33" s="4">
        <v>-0.54549999999999998</v>
      </c>
      <c r="Q33" s="2"/>
      <c r="R33">
        <f t="shared" ca="1" si="1"/>
        <v>1.6646507819824192</v>
      </c>
      <c r="S33">
        <f t="shared" ca="1" si="1"/>
        <v>1.5650172810972132</v>
      </c>
      <c r="T33">
        <f t="shared" ca="1" si="1"/>
        <v>2.7731247969909325</v>
      </c>
      <c r="U33">
        <f t="shared" ca="1" si="1"/>
        <v>2.7046045693240637</v>
      </c>
      <c r="V33" t="str">
        <f t="shared" ca="1" si="2"/>
        <v>C2</v>
      </c>
      <c r="W33">
        <v>33</v>
      </c>
      <c r="X33" t="str">
        <f t="shared" ca="1" si="3"/>
        <v>C2</v>
      </c>
      <c r="Y33">
        <f t="shared" ca="1" si="4"/>
        <v>0</v>
      </c>
    </row>
    <row r="34" spans="1:25" x14ac:dyDescent="0.25">
      <c r="A34" t="s">
        <v>34</v>
      </c>
      <c r="B34" s="4">
        <v>9.3583333000000005E-2</v>
      </c>
      <c r="C34" s="4">
        <v>0.88724999999999998</v>
      </c>
      <c r="D34" s="4">
        <v>0.38100000000000001</v>
      </c>
      <c r="E34" s="4">
        <v>-1.49275</v>
      </c>
      <c r="F34" s="4">
        <v>-0.87283333299999999</v>
      </c>
      <c r="G34" s="4">
        <v>-2.0542500000000001</v>
      </c>
      <c r="H34" s="4">
        <v>-0.12066666700000001</v>
      </c>
      <c r="Q34" s="2"/>
      <c r="R34">
        <f t="shared" ca="1" si="1"/>
        <v>2.0995307952302587</v>
      </c>
      <c r="S34">
        <f t="shared" ca="1" si="1"/>
        <v>1.0409649320523853</v>
      </c>
      <c r="T34">
        <f t="shared" ca="1" si="1"/>
        <v>2.5198872716594996</v>
      </c>
      <c r="U34">
        <f t="shared" ca="1" si="1"/>
        <v>1.2046651169895564</v>
      </c>
      <c r="V34" t="str">
        <f t="shared" ca="1" si="2"/>
        <v>C2</v>
      </c>
      <c r="W34">
        <v>34</v>
      </c>
      <c r="X34" t="str">
        <f t="shared" ca="1" si="3"/>
        <v>C2</v>
      </c>
      <c r="Y34">
        <f t="shared" ca="1" si="4"/>
        <v>0</v>
      </c>
    </row>
    <row r="35" spans="1:25" x14ac:dyDescent="0.25">
      <c r="A35" t="s">
        <v>35</v>
      </c>
      <c r="B35" s="4">
        <v>0.89300000000000002</v>
      </c>
      <c r="C35" s="4">
        <v>1.4875</v>
      </c>
      <c r="D35" s="4">
        <v>0.82199999999999995</v>
      </c>
      <c r="E35" s="4">
        <v>-2.8685</v>
      </c>
      <c r="F35" s="4">
        <v>-1.5481666670000001</v>
      </c>
      <c r="G35" s="4">
        <v>-2.1702499999999998</v>
      </c>
      <c r="H35" s="4">
        <v>0.41799999999999998</v>
      </c>
      <c r="Q35" s="2"/>
      <c r="R35">
        <f t="shared" ca="1" si="1"/>
        <v>3.5427540207762833</v>
      </c>
      <c r="S35">
        <f t="shared" ca="1" si="1"/>
        <v>2.4904048186446976</v>
      </c>
      <c r="T35">
        <f t="shared" ca="1" si="1"/>
        <v>3.5047913070455183</v>
      </c>
      <c r="U35">
        <f t="shared" ca="1" si="1"/>
        <v>2.0443527776499177</v>
      </c>
      <c r="V35" t="str">
        <f t="shared" ca="1" si="2"/>
        <v>C4</v>
      </c>
      <c r="W35">
        <v>35</v>
      </c>
      <c r="X35" t="str">
        <f t="shared" ca="1" si="3"/>
        <v>C4</v>
      </c>
      <c r="Y35">
        <f t="shared" ca="1" si="4"/>
        <v>0</v>
      </c>
    </row>
    <row r="36" spans="1:25" x14ac:dyDescent="0.25">
      <c r="A36" t="s">
        <v>36</v>
      </c>
      <c r="B36" s="4">
        <v>-0.20100000000000001</v>
      </c>
      <c r="C36" s="4">
        <v>2.3005</v>
      </c>
      <c r="D36" s="4">
        <v>-8.0375000000000002E-2</v>
      </c>
      <c r="E36" s="4">
        <v>-1.2317499999999999</v>
      </c>
      <c r="F36" s="4">
        <v>-0.4415</v>
      </c>
      <c r="G36" s="4">
        <v>-2.42</v>
      </c>
      <c r="H36" s="4">
        <v>-0.507833333</v>
      </c>
      <c r="Q36" s="2"/>
      <c r="R36">
        <f t="shared" ca="1" si="1"/>
        <v>1.4429490955387876</v>
      </c>
      <c r="S36">
        <f t="shared" ca="1" si="1"/>
        <v>1.5224413695564831</v>
      </c>
      <c r="T36">
        <f t="shared" ca="1" si="1"/>
        <v>3.8876148903418706</v>
      </c>
      <c r="U36">
        <f t="shared" ca="1" si="1"/>
        <v>2.0822732178830754</v>
      </c>
      <c r="V36" t="str">
        <f t="shared" ca="1" si="2"/>
        <v>C1</v>
      </c>
      <c r="W36">
        <v>36</v>
      </c>
      <c r="X36" t="str">
        <f t="shared" ca="1" si="3"/>
        <v>C1</v>
      </c>
      <c r="Y36">
        <f t="shared" ca="1" si="4"/>
        <v>0</v>
      </c>
    </row>
    <row r="37" spans="1:25" x14ac:dyDescent="0.25">
      <c r="A37" t="s">
        <v>37</v>
      </c>
      <c r="B37" s="4">
        <v>-0.92141666700000002</v>
      </c>
      <c r="C37" s="4">
        <v>2.6204999999999998</v>
      </c>
      <c r="D37" s="4">
        <v>0.68874999999999997</v>
      </c>
      <c r="E37" s="4">
        <v>-0.38700000000000001</v>
      </c>
      <c r="F37" s="4">
        <v>-0.97216666699999998</v>
      </c>
      <c r="G37" s="4">
        <v>-2.2585000000000002</v>
      </c>
      <c r="H37" s="4">
        <v>-1.2768333329999999</v>
      </c>
      <c r="Q37" s="2"/>
      <c r="R37">
        <f t="shared" ca="1" si="1"/>
        <v>1.3069084671817794</v>
      </c>
      <c r="S37">
        <f t="shared" ca="1" si="1"/>
        <v>2.3070467315709031</v>
      </c>
      <c r="T37">
        <f t="shared" ca="1" si="1"/>
        <v>4.589072210233204</v>
      </c>
      <c r="U37">
        <f t="shared" ca="1" si="1"/>
        <v>2.4810862037886281</v>
      </c>
      <c r="V37" t="str">
        <f t="shared" ca="1" si="2"/>
        <v>C1</v>
      </c>
      <c r="W37">
        <v>37</v>
      </c>
      <c r="X37" t="str">
        <f t="shared" ca="1" si="3"/>
        <v>C1</v>
      </c>
      <c r="Y37">
        <f t="shared" ca="1" si="4"/>
        <v>0</v>
      </c>
    </row>
    <row r="38" spans="1:25" x14ac:dyDescent="0.25">
      <c r="A38" t="s">
        <v>38</v>
      </c>
      <c r="B38" s="4">
        <v>-0.72033333300000002</v>
      </c>
      <c r="C38" s="4">
        <v>1.9815</v>
      </c>
      <c r="D38" s="4">
        <v>0.84087500000000004</v>
      </c>
      <c r="E38" s="4">
        <v>0.27450000000000002</v>
      </c>
      <c r="F38" s="4">
        <v>0.104166667</v>
      </c>
      <c r="G38" s="4">
        <v>-2.1004999999999998</v>
      </c>
      <c r="H38" s="4">
        <v>-1.3785000000000001</v>
      </c>
      <c r="Q38" s="2"/>
      <c r="R38">
        <f t="shared" ca="1" si="1"/>
        <v>0.89031187503484621</v>
      </c>
      <c r="S38">
        <f t="shared" ca="1" si="1"/>
        <v>2.2047763815522576</v>
      </c>
      <c r="T38">
        <f t="shared" ca="1" si="1"/>
        <v>4.0852686468488084</v>
      </c>
      <c r="U38">
        <f t="shared" ca="1" si="1"/>
        <v>2.9113489186655452</v>
      </c>
      <c r="V38" t="str">
        <f t="shared" ca="1" si="2"/>
        <v>C1</v>
      </c>
      <c r="W38">
        <v>38</v>
      </c>
      <c r="X38" t="str">
        <f t="shared" ca="1" si="3"/>
        <v>C1</v>
      </c>
      <c r="Y38">
        <f t="shared" ca="1" si="4"/>
        <v>0</v>
      </c>
    </row>
    <row r="39" spans="1:25" x14ac:dyDescent="0.25">
      <c r="A39" t="s">
        <v>39</v>
      </c>
      <c r="B39" s="4">
        <v>-0.25358333300000002</v>
      </c>
      <c r="C39" s="4">
        <v>6.9500000000000006E-2</v>
      </c>
      <c r="D39" s="4">
        <v>0.82925000000000004</v>
      </c>
      <c r="E39" s="4">
        <v>-2.3347500000000001</v>
      </c>
      <c r="F39" s="4">
        <v>-0.62583333299999999</v>
      </c>
      <c r="G39" s="4">
        <v>-0.80325000000000002</v>
      </c>
      <c r="H39" s="4">
        <v>-0.77366666699999997</v>
      </c>
      <c r="Q39" s="2"/>
      <c r="R39">
        <f t="shared" ca="1" si="1"/>
        <v>3.2065931783013624</v>
      </c>
      <c r="S39">
        <f t="shared" ca="1" si="1"/>
        <v>2.0788435564662087</v>
      </c>
      <c r="T39">
        <f t="shared" ca="1" si="1"/>
        <v>2.6262670989448123</v>
      </c>
      <c r="U39">
        <f t="shared" ca="1" si="1"/>
        <v>1.7564015984724966</v>
      </c>
      <c r="V39" t="str">
        <f t="shared" ca="1" si="2"/>
        <v>C4</v>
      </c>
      <c r="W39">
        <v>39</v>
      </c>
      <c r="X39" t="str">
        <f t="shared" ca="1" si="3"/>
        <v>C4</v>
      </c>
      <c r="Y39">
        <f t="shared" ca="1" si="4"/>
        <v>0</v>
      </c>
    </row>
    <row r="40" spans="1:25" x14ac:dyDescent="0.25">
      <c r="A40" t="s">
        <v>40</v>
      </c>
      <c r="B40" s="4">
        <v>1.35E-2</v>
      </c>
      <c r="C40" s="4">
        <v>-0.15675</v>
      </c>
      <c r="D40" s="4">
        <v>1.218375</v>
      </c>
      <c r="E40" s="4">
        <v>-3.0182500000000001</v>
      </c>
      <c r="F40" s="4">
        <v>-1.89</v>
      </c>
      <c r="G40" s="4">
        <v>-1.752</v>
      </c>
      <c r="H40" s="4">
        <v>-0.60833333300000003</v>
      </c>
      <c r="Q40" s="2"/>
      <c r="R40">
        <f t="shared" ca="1" si="1"/>
        <v>3.9782013325546837</v>
      </c>
      <c r="S40">
        <f t="shared" ca="1" si="1"/>
        <v>2.8149088753369136</v>
      </c>
      <c r="T40">
        <f t="shared" ca="1" si="1"/>
        <v>3.3223869893692144</v>
      </c>
      <c r="U40">
        <f t="shared" ca="1" si="1"/>
        <v>1.8575907949435475</v>
      </c>
      <c r="V40" t="str">
        <f t="shared" ca="1" si="2"/>
        <v>C4</v>
      </c>
      <c r="W40">
        <v>40</v>
      </c>
      <c r="X40" t="str">
        <f t="shared" ca="1" si="3"/>
        <v>C4</v>
      </c>
      <c r="Y40">
        <f t="shared" ca="1" si="4"/>
        <v>0</v>
      </c>
    </row>
    <row r="41" spans="1:25" x14ac:dyDescent="0.25">
      <c r="A41" t="s">
        <v>41</v>
      </c>
      <c r="B41" s="4">
        <v>-0.32591666699999999</v>
      </c>
      <c r="C41" s="4">
        <v>0.61650000000000005</v>
      </c>
      <c r="D41" s="4">
        <v>0.855375</v>
      </c>
      <c r="E41" s="4">
        <v>-0.75749999999999995</v>
      </c>
      <c r="F41" s="4">
        <v>-0.99233333300000004</v>
      </c>
      <c r="G41" s="4">
        <v>-2.2589999999999999</v>
      </c>
      <c r="H41" s="4">
        <v>-0.35549999999999998</v>
      </c>
      <c r="Q41" s="2"/>
      <c r="R41">
        <f t="shared" ca="1" si="1"/>
        <v>1.8095697962410375</v>
      </c>
      <c r="S41">
        <f t="shared" ca="1" si="1"/>
        <v>1.2793150409959435</v>
      </c>
      <c r="T41">
        <f t="shared" ca="1" si="1"/>
        <v>2.5512408273633134</v>
      </c>
      <c r="U41">
        <f t="shared" ca="1" si="1"/>
        <v>1.3967689997776922</v>
      </c>
      <c r="V41" t="str">
        <f t="shared" ca="1" si="2"/>
        <v>C2</v>
      </c>
      <c r="W41">
        <v>41</v>
      </c>
      <c r="X41" t="str">
        <f t="shared" ca="1" si="3"/>
        <v>C2</v>
      </c>
      <c r="Y41">
        <f t="shared" ca="1" si="4"/>
        <v>0</v>
      </c>
    </row>
    <row r="42" spans="1:25" x14ac:dyDescent="0.25">
      <c r="A42" t="s">
        <v>42</v>
      </c>
      <c r="B42" s="4">
        <v>-0.38008333300000002</v>
      </c>
      <c r="C42" s="4">
        <v>1.4850000000000001</v>
      </c>
      <c r="D42" s="4">
        <v>1.3223750000000001</v>
      </c>
      <c r="E42" s="4">
        <v>-0.29325000000000001</v>
      </c>
      <c r="F42" s="4">
        <v>0.29483333299999998</v>
      </c>
      <c r="G42" s="4">
        <v>-2.7677499999999999</v>
      </c>
      <c r="H42" s="4">
        <v>-0.80416666699999995</v>
      </c>
      <c r="Q42" s="2"/>
      <c r="R42">
        <f t="shared" ca="1" si="1"/>
        <v>0.86953293835484657</v>
      </c>
      <c r="S42">
        <f t="shared" ca="1" si="1"/>
        <v>1.5352870568109807</v>
      </c>
      <c r="T42">
        <f t="shared" ca="1" si="1"/>
        <v>3.3678508511590231</v>
      </c>
      <c r="U42">
        <f t="shared" ca="1" si="1"/>
        <v>2.4034874819631584</v>
      </c>
      <c r="V42" t="str">
        <f t="shared" ca="1" si="2"/>
        <v>C1</v>
      </c>
      <c r="W42">
        <v>42</v>
      </c>
      <c r="X42" t="str">
        <f t="shared" ca="1" si="3"/>
        <v>C1</v>
      </c>
      <c r="Y42">
        <f t="shared" ca="1" si="4"/>
        <v>0</v>
      </c>
    </row>
    <row r="43" spans="1:25" x14ac:dyDescent="0.25">
      <c r="A43" t="s">
        <v>43</v>
      </c>
      <c r="B43" s="4">
        <v>-0.59658333299999999</v>
      </c>
      <c r="C43" s="4">
        <v>1.7055</v>
      </c>
      <c r="D43" s="4">
        <v>1.29125</v>
      </c>
      <c r="E43" s="4">
        <v>0.80125000000000002</v>
      </c>
      <c r="F43" s="4">
        <v>-1.2496666670000001</v>
      </c>
      <c r="G43" s="4">
        <v>-2.5434999999999999</v>
      </c>
      <c r="H43" s="4">
        <v>-1.2695000000000001</v>
      </c>
      <c r="Q43" s="2"/>
      <c r="R43">
        <f t="shared" ca="1" si="1"/>
        <v>1.8533648623213514</v>
      </c>
      <c r="S43">
        <f t="shared" ca="1" si="1"/>
        <v>2.821855441484431</v>
      </c>
      <c r="T43">
        <f t="shared" ca="1" si="1"/>
        <v>4.3149740142277153</v>
      </c>
      <c r="U43">
        <f t="shared" ca="1" si="1"/>
        <v>3.0446500035339006</v>
      </c>
      <c r="V43" t="str">
        <f t="shared" ca="1" si="2"/>
        <v>C1</v>
      </c>
      <c r="W43">
        <v>43</v>
      </c>
      <c r="X43" t="str">
        <f t="shared" ca="1" si="3"/>
        <v>C1</v>
      </c>
      <c r="Y43">
        <f t="shared" ca="1" si="4"/>
        <v>0</v>
      </c>
    </row>
    <row r="44" spans="1:25" x14ac:dyDescent="0.25">
      <c r="A44" t="s">
        <v>44</v>
      </c>
      <c r="B44" s="4">
        <v>-1.3580833329999999</v>
      </c>
      <c r="C44" s="4">
        <v>1.5842499999999999</v>
      </c>
      <c r="D44" s="4">
        <v>1.3816250000000001</v>
      </c>
      <c r="E44" s="4">
        <v>0.24475</v>
      </c>
      <c r="F44" s="4">
        <v>-0.83733333300000001</v>
      </c>
      <c r="G44" s="4">
        <v>-2.7632500000000002</v>
      </c>
      <c r="H44" s="4">
        <v>-1.44</v>
      </c>
      <c r="Q44" s="2"/>
      <c r="R44">
        <f t="shared" ca="1" si="1"/>
        <v>1.6389061359966612</v>
      </c>
      <c r="S44">
        <f t="shared" ca="1" si="1"/>
        <v>2.5795422239572106</v>
      </c>
      <c r="T44">
        <f t="shared" ca="1" si="1"/>
        <v>4.3827313734570685</v>
      </c>
      <c r="U44">
        <f t="shared" ca="1" si="1"/>
        <v>2.7507980373220775</v>
      </c>
      <c r="V44" t="str">
        <f t="shared" ca="1" si="2"/>
        <v>C1</v>
      </c>
      <c r="W44">
        <v>44</v>
      </c>
      <c r="X44" t="str">
        <f t="shared" ca="1" si="3"/>
        <v>C1</v>
      </c>
      <c r="Y44">
        <f t="shared" ca="1" si="4"/>
        <v>0</v>
      </c>
    </row>
    <row r="45" spans="1:25" x14ac:dyDescent="0.25">
      <c r="A45" t="s">
        <v>45</v>
      </c>
      <c r="B45" s="4">
        <v>-0.73483333299999998</v>
      </c>
      <c r="C45" s="4">
        <v>2.1577500000000001</v>
      </c>
      <c r="D45" s="4">
        <v>1.6796249999999999</v>
      </c>
      <c r="E45" s="4">
        <v>-0.90800000000000003</v>
      </c>
      <c r="F45" s="4">
        <v>-1.193333333</v>
      </c>
      <c r="G45" s="4">
        <v>-2.5305</v>
      </c>
      <c r="H45" s="4">
        <v>-1.110833333</v>
      </c>
      <c r="Q45" s="2"/>
      <c r="R45">
        <f t="shared" ca="1" si="1"/>
        <v>1.6057567083942152</v>
      </c>
      <c r="S45">
        <f t="shared" ca="1" si="1"/>
        <v>2.043763431273899</v>
      </c>
      <c r="T45">
        <f t="shared" ca="1" si="1"/>
        <v>4.185274620018685</v>
      </c>
      <c r="U45">
        <f t="shared" ca="1" si="1"/>
        <v>1.8570034735128513</v>
      </c>
      <c r="V45" t="str">
        <f t="shared" ca="1" si="2"/>
        <v>C1</v>
      </c>
      <c r="W45">
        <v>45</v>
      </c>
      <c r="X45" t="str">
        <f t="shared" ca="1" si="3"/>
        <v>C1</v>
      </c>
      <c r="Y45">
        <f t="shared" ca="1" si="4"/>
        <v>0</v>
      </c>
    </row>
    <row r="46" spans="1:25" x14ac:dyDescent="0.25">
      <c r="A46" t="s">
        <v>46</v>
      </c>
      <c r="B46" s="4">
        <v>-0.353583333</v>
      </c>
      <c r="C46" s="4">
        <v>1.6067499999999999</v>
      </c>
      <c r="D46" s="4">
        <v>0.96799999999999997</v>
      </c>
      <c r="E46" s="4">
        <v>-1.68225</v>
      </c>
      <c r="F46" s="4">
        <v>-0.47083333300000002</v>
      </c>
      <c r="G46" s="4">
        <v>-3.0837500000000002</v>
      </c>
      <c r="H46" s="4">
        <v>-0.109166667</v>
      </c>
      <c r="Q46" s="2"/>
      <c r="R46">
        <f t="shared" ca="1" si="1"/>
        <v>1.7872429953412543</v>
      </c>
      <c r="S46">
        <f t="shared" ca="1" si="1"/>
        <v>1.166792445236889</v>
      </c>
      <c r="T46">
        <f t="shared" ca="1" si="1"/>
        <v>3.3662611306908441</v>
      </c>
      <c r="U46">
        <f t="shared" ca="1" si="1"/>
        <v>1.4459085794403661</v>
      </c>
      <c r="V46" t="str">
        <f t="shared" ca="1" si="2"/>
        <v>C2</v>
      </c>
      <c r="W46">
        <v>46</v>
      </c>
      <c r="X46" t="str">
        <f t="shared" ca="1" si="3"/>
        <v>C2</v>
      </c>
      <c r="Y46">
        <f t="shared" ca="1" si="4"/>
        <v>0</v>
      </c>
    </row>
    <row r="47" spans="1:25" x14ac:dyDescent="0.25">
      <c r="A47" t="s">
        <v>47</v>
      </c>
      <c r="B47" s="4">
        <v>-0.72483333299999997</v>
      </c>
      <c r="C47" s="4">
        <v>0.13600000000000001</v>
      </c>
      <c r="D47" s="4">
        <v>0.80762500000000004</v>
      </c>
      <c r="E47" s="4">
        <v>-3.0539999999999998</v>
      </c>
      <c r="F47" s="4">
        <v>-1.0965</v>
      </c>
      <c r="G47" s="4">
        <v>-1.9717499999999999</v>
      </c>
      <c r="H47" s="4">
        <v>6.9333332999999997E-2</v>
      </c>
      <c r="Q47" s="2"/>
      <c r="R47">
        <f t="shared" ca="1" si="1"/>
        <v>3.5719039679786908</v>
      </c>
      <c r="S47">
        <f t="shared" ca="1" si="1"/>
        <v>2.2880620193117149</v>
      </c>
      <c r="T47">
        <f t="shared" ca="1" si="1"/>
        <v>3.0802804902105732</v>
      </c>
      <c r="U47">
        <f t="shared" ca="1" si="1"/>
        <v>1.5286950772957186</v>
      </c>
      <c r="V47" t="str">
        <f t="shared" ca="1" si="2"/>
        <v>C4</v>
      </c>
      <c r="W47">
        <v>47</v>
      </c>
      <c r="X47" t="str">
        <f t="shared" ca="1" si="3"/>
        <v>C4</v>
      </c>
      <c r="Y47">
        <f t="shared" ca="1" si="4"/>
        <v>0</v>
      </c>
    </row>
    <row r="48" spans="1:25" x14ac:dyDescent="0.25">
      <c r="A48" t="s">
        <v>48</v>
      </c>
      <c r="B48" s="4">
        <v>-0.62516666700000001</v>
      </c>
      <c r="C48" s="4">
        <v>0.96425000000000005</v>
      </c>
      <c r="D48" s="4">
        <v>0.85250000000000004</v>
      </c>
      <c r="E48" s="4">
        <v>-1.4817499999999999</v>
      </c>
      <c r="F48" s="4">
        <v>0.15433333299999999</v>
      </c>
      <c r="G48" s="4">
        <v>-1.81175</v>
      </c>
      <c r="H48" s="4">
        <v>-0.39600000000000002</v>
      </c>
      <c r="Q48" s="2"/>
      <c r="R48">
        <f t="shared" ca="1" si="1"/>
        <v>1.673347292058694</v>
      </c>
      <c r="S48">
        <f t="shared" ca="1" si="1"/>
        <v>0.65011945258090276</v>
      </c>
      <c r="T48">
        <f t="shared" ca="1" si="1"/>
        <v>2.5929330040195793</v>
      </c>
      <c r="U48">
        <f t="shared" ca="1" si="1"/>
        <v>1.4237879614395628</v>
      </c>
      <c r="V48" t="str">
        <f t="shared" ca="1" si="2"/>
        <v>C2</v>
      </c>
      <c r="W48">
        <v>48</v>
      </c>
      <c r="X48" t="str">
        <f t="shared" ca="1" si="3"/>
        <v>C2</v>
      </c>
      <c r="Y48">
        <f t="shared" ca="1" si="4"/>
        <v>0</v>
      </c>
    </row>
    <row r="49" spans="1:25" x14ac:dyDescent="0.25">
      <c r="A49" t="s">
        <v>49</v>
      </c>
      <c r="B49" s="4">
        <v>-0.19183333299999999</v>
      </c>
      <c r="C49" s="4">
        <v>1.54525</v>
      </c>
      <c r="D49" s="4">
        <v>1.248875</v>
      </c>
      <c r="E49" s="4">
        <v>-1.3754999999999999</v>
      </c>
      <c r="F49" s="4">
        <v>-0.47583333300000002</v>
      </c>
      <c r="G49" s="4">
        <v>-2.1477499999999998</v>
      </c>
      <c r="H49" s="4">
        <v>-0.47849999999999998</v>
      </c>
      <c r="Q49" s="2"/>
      <c r="R49">
        <f t="shared" ca="1" si="1"/>
        <v>1.3783372286030799</v>
      </c>
      <c r="S49">
        <f t="shared" ca="1" si="1"/>
        <v>0.72162207877413631</v>
      </c>
      <c r="T49">
        <f t="shared" ca="1" si="1"/>
        <v>2.9764523837155346</v>
      </c>
      <c r="U49">
        <f t="shared" ca="1" si="1"/>
        <v>1.1099719664439358</v>
      </c>
      <c r="V49" t="str">
        <f t="shared" ca="1" si="2"/>
        <v>C2</v>
      </c>
      <c r="W49">
        <v>49</v>
      </c>
      <c r="X49" t="str">
        <f t="shared" ca="1" si="3"/>
        <v>C2</v>
      </c>
      <c r="Y49">
        <f t="shared" ca="1" si="4"/>
        <v>0</v>
      </c>
    </row>
    <row r="50" spans="1:25" x14ac:dyDescent="0.25">
      <c r="A50" t="s">
        <v>50</v>
      </c>
      <c r="B50" s="4">
        <v>-0.54883333300000003</v>
      </c>
      <c r="C50" s="4">
        <v>1.4524999999999999</v>
      </c>
      <c r="D50" s="4">
        <v>0.19525000000000001</v>
      </c>
      <c r="E50" s="4">
        <v>0.29225000000000001</v>
      </c>
      <c r="F50" s="4">
        <v>0.81</v>
      </c>
      <c r="G50" s="4">
        <v>-2.8947500000000002</v>
      </c>
      <c r="H50" s="4">
        <v>-0.77700000000000002</v>
      </c>
      <c r="Q50" s="2"/>
      <c r="R50">
        <f t="shared" ca="1" si="1"/>
        <v>1.4304816822613255</v>
      </c>
      <c r="S50">
        <f t="shared" ca="1" si="1"/>
        <v>2.237234668346717</v>
      </c>
      <c r="T50">
        <f t="shared" ca="1" si="1"/>
        <v>3.8182303372344863</v>
      </c>
      <c r="U50">
        <f t="shared" ca="1" si="1"/>
        <v>3.2792760385139186</v>
      </c>
      <c r="V50" t="str">
        <f t="shared" ca="1" si="2"/>
        <v>C1</v>
      </c>
      <c r="W50">
        <v>50</v>
      </c>
      <c r="X50" t="str">
        <f t="shared" ca="1" si="3"/>
        <v>C1</v>
      </c>
      <c r="Y50">
        <f t="shared" ca="1" si="4"/>
        <v>0</v>
      </c>
    </row>
    <row r="51" spans="1:25" x14ac:dyDescent="0.25">
      <c r="A51" t="s">
        <v>51</v>
      </c>
      <c r="B51" s="4">
        <v>-0.41383333300000003</v>
      </c>
      <c r="C51" s="4">
        <v>1.927</v>
      </c>
      <c r="D51" s="4">
        <v>0.67225000000000001</v>
      </c>
      <c r="E51" s="4">
        <v>-1.6427499999999999</v>
      </c>
      <c r="F51" s="4">
        <v>9.4E-2</v>
      </c>
      <c r="G51" s="4">
        <v>-2.4159999999999999</v>
      </c>
      <c r="H51" s="4">
        <v>-0.47816666699999999</v>
      </c>
      <c r="Q51" s="2"/>
      <c r="R51">
        <f t="shared" ca="1" si="1"/>
        <v>1.3383986217536423</v>
      </c>
      <c r="S51">
        <f t="shared" ca="1" si="1"/>
        <v>0.87966057146560483</v>
      </c>
      <c r="T51">
        <f t="shared" ca="1" si="1"/>
        <v>3.4535615835134448</v>
      </c>
      <c r="U51">
        <f t="shared" ca="1" si="1"/>
        <v>1.6456821201510281</v>
      </c>
      <c r="V51" t="str">
        <f t="shared" ca="1" si="2"/>
        <v>C2</v>
      </c>
      <c r="W51">
        <v>51</v>
      </c>
      <c r="X51" t="str">
        <f t="shared" ca="1" si="3"/>
        <v>C2</v>
      </c>
      <c r="Y51">
        <f t="shared" ca="1" si="4"/>
        <v>0</v>
      </c>
    </row>
    <row r="52" spans="1:25" x14ac:dyDescent="0.25">
      <c r="A52" t="s">
        <v>52</v>
      </c>
      <c r="B52" s="4">
        <v>-0.70299999999999996</v>
      </c>
      <c r="C52" s="4">
        <v>1.9810000000000001</v>
      </c>
      <c r="D52" s="4">
        <v>1.377875</v>
      </c>
      <c r="E52" s="4">
        <v>-1.6385000000000001</v>
      </c>
      <c r="F52" s="4">
        <v>8.5500000000000007E-2</v>
      </c>
      <c r="G52" s="4">
        <v>-2.7690000000000001</v>
      </c>
      <c r="H52" s="4">
        <v>-0.32350000000000001</v>
      </c>
      <c r="Q52" s="2"/>
      <c r="R52">
        <f t="shared" ca="1" si="1"/>
        <v>1.5535814687871423</v>
      </c>
      <c r="S52">
        <f t="shared" ca="1" si="1"/>
        <v>1.2935418715238935</v>
      </c>
      <c r="T52">
        <f t="shared" ca="1" si="1"/>
        <v>3.6202601275014987</v>
      </c>
      <c r="U52">
        <f t="shared" ca="1" si="1"/>
        <v>1.755785219875672</v>
      </c>
      <c r="V52" t="str">
        <f t="shared" ca="1" si="2"/>
        <v>C2</v>
      </c>
      <c r="W52">
        <v>52</v>
      </c>
      <c r="X52" t="str">
        <f t="shared" ca="1" si="3"/>
        <v>C2</v>
      </c>
      <c r="Y52">
        <f t="shared" ca="1" si="4"/>
        <v>0</v>
      </c>
    </row>
    <row r="53" spans="1:25" x14ac:dyDescent="0.25">
      <c r="A53" t="s">
        <v>53</v>
      </c>
      <c r="B53" s="4">
        <v>-5.2749999999999998E-2</v>
      </c>
      <c r="C53" s="4">
        <v>0.69550000000000001</v>
      </c>
      <c r="D53" s="4">
        <v>0.56762500000000005</v>
      </c>
      <c r="E53" s="4">
        <v>-1.9105000000000001</v>
      </c>
      <c r="F53" s="4">
        <v>-0.66366666699999999</v>
      </c>
      <c r="G53" s="4">
        <v>-1.93025</v>
      </c>
      <c r="H53" s="4">
        <v>-6.9833332999999997E-2</v>
      </c>
      <c r="Q53" s="2"/>
      <c r="R53">
        <f t="shared" ca="1" si="1"/>
        <v>2.3496732101425652</v>
      </c>
      <c r="S53">
        <f t="shared" ca="1" si="1"/>
        <v>1.0221004535054958</v>
      </c>
      <c r="T53">
        <f t="shared" ca="1" si="1"/>
        <v>2.3705683863274225</v>
      </c>
      <c r="U53">
        <f t="shared" ca="1" si="1"/>
        <v>1.0361401058146593</v>
      </c>
      <c r="V53" t="str">
        <f t="shared" ca="1" si="2"/>
        <v>C2</v>
      </c>
      <c r="W53">
        <v>53</v>
      </c>
      <c r="X53" t="str">
        <f t="shared" ca="1" si="3"/>
        <v>C2</v>
      </c>
      <c r="Y53">
        <f t="shared" ca="1" si="4"/>
        <v>0</v>
      </c>
    </row>
    <row r="54" spans="1:25" x14ac:dyDescent="0.25">
      <c r="A54" t="s">
        <v>54</v>
      </c>
      <c r="B54" s="4">
        <v>-1.0760000000000001</v>
      </c>
      <c r="C54" s="4">
        <v>2.6469999999999998</v>
      </c>
      <c r="D54" s="4">
        <v>0.84612500000000002</v>
      </c>
      <c r="E54" s="4">
        <v>-1.83975</v>
      </c>
      <c r="F54" s="4">
        <v>-1.7773333330000001</v>
      </c>
      <c r="G54" s="4">
        <v>-2.01275</v>
      </c>
      <c r="H54" s="4">
        <v>-0.52866666699999998</v>
      </c>
      <c r="Q54" s="2"/>
      <c r="R54">
        <f t="shared" ca="1" si="1"/>
        <v>2.515840563511627</v>
      </c>
      <c r="S54">
        <f t="shared" ca="1" si="1"/>
        <v>2.4647213946193189</v>
      </c>
      <c r="T54">
        <f t="shared" ca="1" si="1"/>
        <v>4.6160517177810503</v>
      </c>
      <c r="U54">
        <f t="shared" ca="1" si="1"/>
        <v>1.8648919129680435</v>
      </c>
      <c r="V54" t="str">
        <f t="shared" ca="1" si="2"/>
        <v>C4</v>
      </c>
      <c r="W54">
        <v>54</v>
      </c>
      <c r="X54" t="str">
        <f t="shared" ca="1" si="3"/>
        <v>C4</v>
      </c>
      <c r="Y54">
        <f t="shared" ca="1" si="4"/>
        <v>0</v>
      </c>
    </row>
    <row r="55" spans="1:25" x14ac:dyDescent="0.25">
      <c r="A55" t="s">
        <v>55</v>
      </c>
      <c r="B55" s="4">
        <v>-0.519416667</v>
      </c>
      <c r="C55" s="4">
        <v>1.1639999999999999</v>
      </c>
      <c r="D55" s="4">
        <v>0.55325000000000002</v>
      </c>
      <c r="E55" s="4">
        <v>-1.48675</v>
      </c>
      <c r="F55" s="4">
        <v>-0.71816666699999998</v>
      </c>
      <c r="G55" s="4">
        <v>-1.7490000000000001</v>
      </c>
      <c r="H55" s="4">
        <v>0.12466666699999999</v>
      </c>
      <c r="Q55" s="2"/>
      <c r="R55">
        <f t="shared" ca="1" si="1"/>
        <v>1.9746907653767676</v>
      </c>
      <c r="S55">
        <f t="shared" ca="1" si="1"/>
        <v>1.0393399788086368</v>
      </c>
      <c r="T55">
        <f t="shared" ca="1" si="1"/>
        <v>2.6700144080563808</v>
      </c>
      <c r="U55">
        <f t="shared" ca="1" si="1"/>
        <v>1.1345754480748895</v>
      </c>
      <c r="V55" t="str">
        <f t="shared" ca="1" si="2"/>
        <v>C2</v>
      </c>
      <c r="W55">
        <v>55</v>
      </c>
      <c r="X55" t="str">
        <f t="shared" ca="1" si="3"/>
        <v>C2</v>
      </c>
      <c r="Y55">
        <f t="shared" ca="1" si="4"/>
        <v>0</v>
      </c>
    </row>
    <row r="56" spans="1:25" x14ac:dyDescent="0.25">
      <c r="A56" t="s">
        <v>56</v>
      </c>
      <c r="B56" s="4">
        <v>-0.53700000000000003</v>
      </c>
      <c r="C56" s="4">
        <v>0.66125</v>
      </c>
      <c r="D56" s="4">
        <v>0.83550000000000002</v>
      </c>
      <c r="E56" s="4">
        <v>-2.3107500000000001</v>
      </c>
      <c r="F56" s="4">
        <v>-1.2608333329999999</v>
      </c>
      <c r="G56" s="4">
        <v>-2.8679999999999999</v>
      </c>
      <c r="H56" s="4">
        <v>2.5333333E-2</v>
      </c>
      <c r="Q56" s="2"/>
      <c r="R56">
        <f t="shared" ca="1" si="1"/>
        <v>2.8371374656096591</v>
      </c>
      <c r="S56">
        <f t="shared" ca="1" si="1"/>
        <v>1.7805638196185487</v>
      </c>
      <c r="T56">
        <f t="shared" ca="1" si="1"/>
        <v>3.1763804327533549</v>
      </c>
      <c r="U56">
        <f t="shared" ca="1" si="1"/>
        <v>1.113539429929111</v>
      </c>
      <c r="V56" t="str">
        <f t="shared" ca="1" si="2"/>
        <v>C4</v>
      </c>
      <c r="W56">
        <v>56</v>
      </c>
      <c r="X56" t="str">
        <f t="shared" ca="1" si="3"/>
        <v>C4</v>
      </c>
      <c r="Y56">
        <f t="shared" ca="1" si="4"/>
        <v>0</v>
      </c>
    </row>
    <row r="57" spans="1:25" x14ac:dyDescent="0.25">
      <c r="A57" t="s">
        <v>57</v>
      </c>
      <c r="B57" s="4">
        <v>-1.0768333329999999</v>
      </c>
      <c r="C57" s="4">
        <v>1.984</v>
      </c>
      <c r="D57" s="4">
        <v>1.351375</v>
      </c>
      <c r="E57" s="4">
        <v>-0.67774999999999996</v>
      </c>
      <c r="F57" s="4">
        <v>-1.796</v>
      </c>
      <c r="G57" s="4">
        <v>-1.38425</v>
      </c>
      <c r="H57" s="4">
        <v>-0.17116666699999999</v>
      </c>
      <c r="Q57" s="2"/>
      <c r="R57">
        <f t="shared" ca="1" si="1"/>
        <v>2.3414848632487844</v>
      </c>
      <c r="S57">
        <f t="shared" ca="1" si="1"/>
        <v>2.4548492750696722</v>
      </c>
      <c r="T57">
        <f t="shared" ca="1" si="1"/>
        <v>3.9149960093217064</v>
      </c>
      <c r="U57">
        <f t="shared" ca="1" si="1"/>
        <v>2.0390376813380091</v>
      </c>
      <c r="V57" t="str">
        <f t="shared" ca="1" si="2"/>
        <v>C4</v>
      </c>
      <c r="W57">
        <v>57</v>
      </c>
      <c r="X57" t="str">
        <f t="shared" ca="1" si="3"/>
        <v>C4</v>
      </c>
      <c r="Y57">
        <f t="shared" ca="1" si="4"/>
        <v>0</v>
      </c>
    </row>
    <row r="58" spans="1:25" x14ac:dyDescent="0.25">
      <c r="A58" t="s">
        <v>58</v>
      </c>
      <c r="B58" s="4">
        <v>0.117416667</v>
      </c>
      <c r="C58" s="4">
        <v>1.2589999999999999</v>
      </c>
      <c r="D58" s="4">
        <v>0.1145</v>
      </c>
      <c r="E58" s="4">
        <v>-1.30175</v>
      </c>
      <c r="F58" s="4">
        <v>0.96583333299999996</v>
      </c>
      <c r="G58" s="4">
        <v>-2.060666667</v>
      </c>
      <c r="H58" s="4">
        <v>-4.1833333E-2</v>
      </c>
      <c r="Q58" s="2"/>
      <c r="R58">
        <f t="shared" ca="1" si="1"/>
        <v>2.0023444562750212</v>
      </c>
      <c r="S58">
        <f t="shared" ca="1" si="1"/>
        <v>1.3629583969753136</v>
      </c>
      <c r="T58">
        <f t="shared" ca="1" si="1"/>
        <v>2.7761313981531028</v>
      </c>
      <c r="U58">
        <f t="shared" ca="1" si="1"/>
        <v>2.5497251635592404</v>
      </c>
      <c r="V58" t="str">
        <f t="shared" ca="1" si="2"/>
        <v>C2</v>
      </c>
      <c r="W58">
        <v>58</v>
      </c>
      <c r="X58" t="str">
        <f t="shared" ca="1" si="3"/>
        <v>C2</v>
      </c>
      <c r="Y58">
        <f t="shared" ca="1" si="4"/>
        <v>0</v>
      </c>
    </row>
    <row r="59" spans="1:25" x14ac:dyDescent="0.25">
      <c r="A59" t="s">
        <v>59</v>
      </c>
      <c r="B59" s="4">
        <v>-0.76290909100000004</v>
      </c>
      <c r="C59" s="4">
        <v>1.8565</v>
      </c>
      <c r="D59" s="4">
        <v>0.78125</v>
      </c>
      <c r="E59" s="4">
        <v>-1.2182500000000001</v>
      </c>
      <c r="F59" s="4">
        <v>1.0091666669999999</v>
      </c>
      <c r="G59" s="4">
        <v>-1.2935000000000001</v>
      </c>
      <c r="H59" s="4">
        <v>-0.171333333</v>
      </c>
      <c r="Q59" s="2"/>
      <c r="R59">
        <f t="shared" ca="1" si="1"/>
        <v>1.8794216701057449</v>
      </c>
      <c r="S59">
        <f t="shared" ca="1" si="1"/>
        <v>1.7074642144496051</v>
      </c>
      <c r="T59">
        <f t="shared" ca="1" si="1"/>
        <v>3.3121716754458594</v>
      </c>
      <c r="U59">
        <f t="shared" ca="1" si="1"/>
        <v>2.584391932488042</v>
      </c>
      <c r="V59" t="str">
        <f t="shared" ca="1" si="2"/>
        <v>C2</v>
      </c>
      <c r="W59">
        <v>59</v>
      </c>
      <c r="X59" t="str">
        <f t="shared" ca="1" si="3"/>
        <v>C2</v>
      </c>
      <c r="Y59">
        <f t="shared" ca="1" si="4"/>
        <v>0</v>
      </c>
    </row>
    <row r="60" spans="1:25" x14ac:dyDescent="0.25">
      <c r="A60" t="s">
        <v>60</v>
      </c>
      <c r="B60" s="4">
        <v>-0.165333333</v>
      </c>
      <c r="C60" s="4">
        <v>0.55974999999999997</v>
      </c>
      <c r="D60" s="4">
        <v>1.063375</v>
      </c>
      <c r="E60" s="4">
        <v>-0.68874999999999997</v>
      </c>
      <c r="F60" s="4">
        <v>0.33583333300000001</v>
      </c>
      <c r="G60" s="4">
        <v>-1.6775</v>
      </c>
      <c r="H60" s="4">
        <v>-0.65283333300000002</v>
      </c>
      <c r="Q60" s="2"/>
      <c r="R60">
        <f t="shared" ca="1" si="1"/>
        <v>1.7028898693844035</v>
      </c>
      <c r="S60">
        <f t="shared" ca="1" si="1"/>
        <v>1.2208550575458113</v>
      </c>
      <c r="T60">
        <f t="shared" ca="1" si="1"/>
        <v>2.220822732807846</v>
      </c>
      <c r="U60">
        <f t="shared" ca="1" si="1"/>
        <v>2.0929474321269219</v>
      </c>
      <c r="V60" t="str">
        <f t="shared" ca="1" si="2"/>
        <v>C2</v>
      </c>
      <c r="W60">
        <v>60</v>
      </c>
      <c r="X60" t="str">
        <f t="shared" ca="1" si="3"/>
        <v>C2</v>
      </c>
      <c r="Y60">
        <f t="shared" ca="1" si="4"/>
        <v>0</v>
      </c>
    </row>
    <row r="61" spans="1:25" x14ac:dyDescent="0.25">
      <c r="A61" t="s">
        <v>61</v>
      </c>
      <c r="B61" s="4">
        <v>-0.22425</v>
      </c>
      <c r="C61" s="4">
        <v>0.68325000000000002</v>
      </c>
      <c r="D61" s="4">
        <v>0.87187499999999996</v>
      </c>
      <c r="E61" s="4">
        <v>-1.82975</v>
      </c>
      <c r="F61" s="4">
        <v>-0.71283333299999996</v>
      </c>
      <c r="G61" s="4">
        <v>-1.202</v>
      </c>
      <c r="H61" s="4">
        <v>-0.20449999999999999</v>
      </c>
      <c r="Q61" s="2"/>
      <c r="R61">
        <f t="shared" ca="1" si="1"/>
        <v>2.4857057916600267</v>
      </c>
      <c r="S61">
        <f t="shared" ca="1" si="1"/>
        <v>1.3461036413159329</v>
      </c>
      <c r="T61">
        <f t="shared" ca="1" si="1"/>
        <v>2.3366437130875939</v>
      </c>
      <c r="U61">
        <f t="shared" ca="1" si="1"/>
        <v>1.153669703123215</v>
      </c>
      <c r="V61" t="str">
        <f t="shared" ca="1" si="2"/>
        <v>C4</v>
      </c>
      <c r="W61">
        <v>61</v>
      </c>
      <c r="X61" t="str">
        <f t="shared" ca="1" si="3"/>
        <v>C4</v>
      </c>
      <c r="Y61">
        <f t="shared" ca="1" si="4"/>
        <v>0</v>
      </c>
    </row>
    <row r="62" spans="1:25" x14ac:dyDescent="0.25">
      <c r="A62" t="s">
        <v>62</v>
      </c>
      <c r="B62" s="4">
        <v>0.66391666699999996</v>
      </c>
      <c r="C62" s="4">
        <v>-0.76075000000000004</v>
      </c>
      <c r="D62" s="4">
        <v>1.2355</v>
      </c>
      <c r="E62" s="4">
        <v>-1.0117499999999999</v>
      </c>
      <c r="F62" s="4">
        <v>0.10716666699999999</v>
      </c>
      <c r="G62" s="4">
        <v>-1.3687499999999999</v>
      </c>
      <c r="H62" s="4">
        <v>0.83683333299999996</v>
      </c>
      <c r="Q62" s="2"/>
      <c r="R62">
        <f t="shared" ca="1" si="1"/>
        <v>3.6694365312485289</v>
      </c>
      <c r="S62">
        <f t="shared" ca="1" si="1"/>
        <v>2.6690221730035635</v>
      </c>
      <c r="T62">
        <f t="shared" ca="1" si="1"/>
        <v>0</v>
      </c>
      <c r="U62">
        <f t="shared" ca="1" si="1"/>
        <v>3.08183714798473</v>
      </c>
      <c r="V62" t="str">
        <f t="shared" ca="1" si="2"/>
        <v>C3</v>
      </c>
      <c r="W62">
        <v>62</v>
      </c>
      <c r="X62" t="str">
        <f t="shared" ca="1" si="3"/>
        <v>C3</v>
      </c>
      <c r="Y62">
        <f t="shared" ca="1" si="4"/>
        <v>0</v>
      </c>
    </row>
    <row r="63" spans="1:25" x14ac:dyDescent="0.25">
      <c r="A63" t="s">
        <v>63</v>
      </c>
      <c r="B63" s="4">
        <v>-0.91825000000000001</v>
      </c>
      <c r="C63" s="4">
        <v>-0.37375000000000003</v>
      </c>
      <c r="D63" s="4">
        <v>0.75924999999999998</v>
      </c>
      <c r="E63" s="4">
        <v>-1.3202499999999999</v>
      </c>
      <c r="F63" s="4">
        <v>-2.1211666669999998</v>
      </c>
      <c r="G63" s="4">
        <v>-1.8853333329999999</v>
      </c>
      <c r="H63" s="4">
        <v>-0.67149999999999999</v>
      </c>
      <c r="Q63" s="2"/>
      <c r="R63">
        <f t="shared" ca="1" si="1"/>
        <v>3.3514253042775932</v>
      </c>
      <c r="S63">
        <f t="shared" ca="1" si="1"/>
        <v>2.6851343792969553</v>
      </c>
      <c r="T63">
        <f t="shared" ca="1" si="1"/>
        <v>3.2376540743961084</v>
      </c>
      <c r="U63">
        <f t="shared" ca="1" si="1"/>
        <v>1.9516614164155655</v>
      </c>
      <c r="V63" t="str">
        <f t="shared" ca="1" si="2"/>
        <v>C4</v>
      </c>
      <c r="W63">
        <v>63</v>
      </c>
      <c r="X63" t="str">
        <f t="shared" ca="1" si="3"/>
        <v>C4</v>
      </c>
      <c r="Y63">
        <f t="shared" ca="1" si="4"/>
        <v>0</v>
      </c>
    </row>
    <row r="64" spans="1:25" x14ac:dyDescent="0.25">
      <c r="A64" t="s">
        <v>64</v>
      </c>
      <c r="B64" s="4">
        <v>0.324333333</v>
      </c>
      <c r="C64" s="4">
        <v>0.54649999999999999</v>
      </c>
      <c r="D64" s="4">
        <v>0.827125</v>
      </c>
      <c r="E64" s="4">
        <v>-2.2654999999999998</v>
      </c>
      <c r="F64" s="4">
        <v>-0.39650000000000002</v>
      </c>
      <c r="G64" s="4">
        <v>-1.92275</v>
      </c>
      <c r="H64" s="4">
        <v>1.0333333E-2</v>
      </c>
      <c r="Q64" s="2"/>
      <c r="R64">
        <f t="shared" ca="1" si="1"/>
        <v>2.7235147699100466</v>
      </c>
      <c r="S64">
        <f t="shared" ca="1" si="1"/>
        <v>1.2978727374105874</v>
      </c>
      <c r="T64">
        <f t="shared" ca="1" si="1"/>
        <v>2.1923906968883182</v>
      </c>
      <c r="U64">
        <f t="shared" ca="1" si="1"/>
        <v>1.3885383161907272</v>
      </c>
      <c r="V64" t="str">
        <f t="shared" ca="1" si="2"/>
        <v>C2</v>
      </c>
      <c r="W64">
        <v>64</v>
      </c>
      <c r="X64" t="str">
        <f t="shared" ca="1" si="3"/>
        <v>C2</v>
      </c>
      <c r="Y64">
        <f t="shared" ca="1" si="4"/>
        <v>0</v>
      </c>
    </row>
    <row r="65" spans="1:25" x14ac:dyDescent="0.25">
      <c r="A65" t="s">
        <v>65</v>
      </c>
      <c r="B65" s="4">
        <v>0.33750000000000002</v>
      </c>
      <c r="C65" s="4">
        <v>1.931</v>
      </c>
      <c r="D65" s="4">
        <v>0.83250000000000002</v>
      </c>
      <c r="E65" s="4">
        <v>-2.33175</v>
      </c>
      <c r="F65" s="4">
        <v>-0.14133333300000001</v>
      </c>
      <c r="G65" s="4">
        <v>-2.26125</v>
      </c>
      <c r="H65" s="4">
        <v>0.20150000000000001</v>
      </c>
      <c r="Q65" s="2"/>
      <c r="R65">
        <f t="shared" ca="1" si="1"/>
        <v>2.4035706123299141</v>
      </c>
      <c r="S65">
        <f t="shared" ca="1" si="1"/>
        <v>1.4406890944546911</v>
      </c>
      <c r="T65">
        <f t="shared" ca="1" si="1"/>
        <v>3.2432748645491452</v>
      </c>
      <c r="U65">
        <f t="shared" ca="1" si="1"/>
        <v>1.803482585848295</v>
      </c>
      <c r="V65" t="str">
        <f t="shared" ca="1" si="2"/>
        <v>C2</v>
      </c>
      <c r="W65">
        <v>65</v>
      </c>
      <c r="X65" t="str">
        <f t="shared" ca="1" si="3"/>
        <v>C2</v>
      </c>
      <c r="Y65">
        <f t="shared" ca="1" si="4"/>
        <v>0</v>
      </c>
    </row>
    <row r="66" spans="1:25" x14ac:dyDescent="0.25">
      <c r="A66" t="s">
        <v>66</v>
      </c>
      <c r="B66" s="4">
        <v>-0.77566666699999998</v>
      </c>
      <c r="C66" s="4">
        <v>2.62575</v>
      </c>
      <c r="D66" s="4">
        <v>0.73087500000000005</v>
      </c>
      <c r="E66" s="4">
        <v>-1.3260000000000001</v>
      </c>
      <c r="F66" s="4">
        <v>-1.314333333</v>
      </c>
      <c r="G66" s="4">
        <v>-2.6505000000000001</v>
      </c>
      <c r="H66" s="4">
        <v>-0.65549999999999997</v>
      </c>
      <c r="Q66" s="2"/>
      <c r="R66">
        <f t="shared" ca="1" si="1"/>
        <v>1.8045990142911297</v>
      </c>
      <c r="S66">
        <f t="shared" ca="1" si="1"/>
        <v>2.0733003113070856</v>
      </c>
      <c r="T66">
        <f t="shared" ca="1" si="1"/>
        <v>4.4480092140123144</v>
      </c>
      <c r="U66">
        <f t="shared" ca="1" si="1"/>
        <v>1.9066970296064072</v>
      </c>
      <c r="V66" t="str">
        <f t="shared" ca="1" si="2"/>
        <v>C1</v>
      </c>
      <c r="W66">
        <v>66</v>
      </c>
      <c r="X66" t="str">
        <f t="shared" ca="1" si="3"/>
        <v>C1</v>
      </c>
      <c r="Y66">
        <f t="shared" ca="1" si="4"/>
        <v>0</v>
      </c>
    </row>
    <row r="67" spans="1:25" x14ac:dyDescent="0.25">
      <c r="A67" t="s">
        <v>67</v>
      </c>
      <c r="B67" s="4">
        <v>6.0499999999999998E-2</v>
      </c>
      <c r="C67" s="4">
        <v>1.13425</v>
      </c>
      <c r="D67" s="4">
        <v>0.36275000000000002</v>
      </c>
      <c r="E67" s="4">
        <v>-1.2942499999999999</v>
      </c>
      <c r="F67" s="4">
        <v>-0.86583333299999998</v>
      </c>
      <c r="G67" s="4">
        <v>-2.2237499999999999</v>
      </c>
      <c r="H67" s="4">
        <v>-0.9365</v>
      </c>
      <c r="Q67" s="2"/>
      <c r="R67">
        <f t="shared" ref="R67:U130" ca="1" si="5">SQRT(SUMXMY2($B67:$H67,L$2:L$8))</f>
        <v>1.6667091575912953</v>
      </c>
      <c r="S67">
        <f t="shared" ca="1" si="5"/>
        <v>1.0775726328476134</v>
      </c>
      <c r="T67">
        <f t="shared" ca="1" si="5"/>
        <v>3.101467490792428</v>
      </c>
      <c r="U67">
        <f t="shared" ca="1" si="5"/>
        <v>1.3090427101334332</v>
      </c>
      <c r="V67" t="str">
        <f t="shared" ref="V67:V130" ca="1" si="6">INDEX($R$1:$U$1, 1, MATCH(MIN(R67:U67), R67:U67,0))</f>
        <v>C2</v>
      </c>
      <c r="W67">
        <v>67</v>
      </c>
      <c r="X67" t="str">
        <f t="shared" ref="X67:X130" ca="1" si="7">INDIRECT($J$1  &amp; "!V" &amp; W67)</f>
        <v>C2</v>
      </c>
      <c r="Y67">
        <f t="shared" ref="Y67:Y130" ca="1" si="8">IF(V67=X67, 0, 1)</f>
        <v>0</v>
      </c>
    </row>
    <row r="68" spans="1:25" x14ac:dyDescent="0.25">
      <c r="A68" t="s">
        <v>68</v>
      </c>
      <c r="B68" s="4">
        <v>-0.33808333299999999</v>
      </c>
      <c r="C68" s="4">
        <v>1.41625</v>
      </c>
      <c r="D68" s="4">
        <v>0.78037500000000004</v>
      </c>
      <c r="E68" s="4">
        <v>-1.008</v>
      </c>
      <c r="F68" s="4">
        <v>-1.3380000000000001</v>
      </c>
      <c r="G68" s="4">
        <v>-1.6685000000000001</v>
      </c>
      <c r="H68" s="4">
        <v>-1.239333333</v>
      </c>
      <c r="Q68" s="2"/>
      <c r="R68">
        <f t="shared" ca="1" si="5"/>
        <v>1.7578519956038381</v>
      </c>
      <c r="S68">
        <f t="shared" ca="1" si="5"/>
        <v>1.6729035248732134</v>
      </c>
      <c r="T68">
        <f t="shared" ca="1" si="5"/>
        <v>3.5269406872022167</v>
      </c>
      <c r="U68">
        <f t="shared" ca="1" si="5"/>
        <v>1.4390968686608725</v>
      </c>
      <c r="V68" t="str">
        <f t="shared" ca="1" si="6"/>
        <v>C4</v>
      </c>
      <c r="W68">
        <v>68</v>
      </c>
      <c r="X68" t="str">
        <f t="shared" ca="1" si="7"/>
        <v>C4</v>
      </c>
      <c r="Y68">
        <f t="shared" ca="1" si="8"/>
        <v>0</v>
      </c>
    </row>
    <row r="69" spans="1:25" x14ac:dyDescent="0.25">
      <c r="A69" t="s">
        <v>69</v>
      </c>
      <c r="B69" s="4">
        <v>-0.32158333300000003</v>
      </c>
      <c r="C69" s="4">
        <v>2.23</v>
      </c>
      <c r="D69" s="4">
        <v>0.94962500000000005</v>
      </c>
      <c r="E69" s="4">
        <v>-1.3185</v>
      </c>
      <c r="F69" s="4">
        <v>-0.79916666700000005</v>
      </c>
      <c r="G69" s="4">
        <v>-2.17875</v>
      </c>
      <c r="H69" s="4">
        <v>-1.0269999999999999</v>
      </c>
      <c r="Q69" s="2"/>
      <c r="R69">
        <f t="shared" ca="1" si="5"/>
        <v>1.2924697413129964</v>
      </c>
      <c r="S69">
        <f t="shared" ca="1" si="5"/>
        <v>1.4428051025496218</v>
      </c>
      <c r="T69">
        <f t="shared" ca="1" si="5"/>
        <v>3.8785346068001565</v>
      </c>
      <c r="U69">
        <f t="shared" ca="1" si="5"/>
        <v>1.5426773093836974</v>
      </c>
      <c r="V69" t="str">
        <f t="shared" ca="1" si="6"/>
        <v>C1</v>
      </c>
      <c r="W69">
        <v>69</v>
      </c>
      <c r="X69" t="str">
        <f t="shared" ca="1" si="7"/>
        <v>C1</v>
      </c>
      <c r="Y69">
        <f t="shared" ca="1" si="8"/>
        <v>0</v>
      </c>
    </row>
    <row r="70" spans="1:25" x14ac:dyDescent="0.25">
      <c r="A70" t="s">
        <v>70</v>
      </c>
      <c r="B70" s="4">
        <v>-0.30583333299999999</v>
      </c>
      <c r="C70" s="4">
        <v>1.0225</v>
      </c>
      <c r="D70" s="4">
        <v>0.89737500000000003</v>
      </c>
      <c r="E70" s="4">
        <v>-2.3279999999999998</v>
      </c>
      <c r="F70" s="4">
        <v>-0.50549999999999995</v>
      </c>
      <c r="G70" s="4">
        <v>-1.9352499999999999</v>
      </c>
      <c r="H70" s="4">
        <v>-0.321333333</v>
      </c>
      <c r="Q70" s="2"/>
      <c r="R70">
        <f t="shared" ca="1" si="5"/>
        <v>2.3375222665853155</v>
      </c>
      <c r="S70">
        <f t="shared" ca="1" si="5"/>
        <v>1.0364583415773658</v>
      </c>
      <c r="T70">
        <f t="shared" ca="1" si="5"/>
        <v>2.8292880596028827</v>
      </c>
      <c r="U70">
        <f t="shared" ca="1" si="5"/>
        <v>0.78101996608056368</v>
      </c>
      <c r="V70" t="str">
        <f t="shared" ca="1" si="6"/>
        <v>C4</v>
      </c>
      <c r="W70">
        <v>70</v>
      </c>
      <c r="X70" t="str">
        <f t="shared" ca="1" si="7"/>
        <v>C4</v>
      </c>
      <c r="Y70">
        <f t="shared" ca="1" si="8"/>
        <v>0</v>
      </c>
    </row>
    <row r="71" spans="1:25" x14ac:dyDescent="0.25">
      <c r="A71" t="s">
        <v>71</v>
      </c>
      <c r="B71" s="4">
        <v>-0.265916667</v>
      </c>
      <c r="C71" s="4">
        <v>1.43275</v>
      </c>
      <c r="D71" s="4">
        <v>1.016875</v>
      </c>
      <c r="E71" s="4">
        <v>-1.2662500000000001</v>
      </c>
      <c r="F71" s="4">
        <v>-4.1666669999999998E-3</v>
      </c>
      <c r="G71" s="4">
        <v>-2.2854999999999999</v>
      </c>
      <c r="H71" s="4">
        <v>-0.66149999999999998</v>
      </c>
      <c r="Q71" s="2"/>
      <c r="R71">
        <f t="shared" ca="1" si="5"/>
        <v>1.0991666892209921</v>
      </c>
      <c r="S71">
        <f t="shared" ca="1" si="5"/>
        <v>0.47756783370027639</v>
      </c>
      <c r="T71">
        <f t="shared" ca="1" si="5"/>
        <v>2.9810112160441467</v>
      </c>
      <c r="U71">
        <f t="shared" ca="1" si="5"/>
        <v>1.4453097558191377</v>
      </c>
      <c r="V71" t="str">
        <f t="shared" ca="1" si="6"/>
        <v>C2</v>
      </c>
      <c r="W71">
        <v>71</v>
      </c>
      <c r="X71" t="str">
        <f t="shared" ca="1" si="7"/>
        <v>C2</v>
      </c>
      <c r="Y71">
        <f t="shared" ca="1" si="8"/>
        <v>0</v>
      </c>
    </row>
    <row r="72" spans="1:25" x14ac:dyDescent="0.25">
      <c r="A72" t="s">
        <v>72</v>
      </c>
      <c r="B72" s="4">
        <v>-0.225583333</v>
      </c>
      <c r="C72" s="4">
        <v>0.65700000000000003</v>
      </c>
      <c r="D72" s="4">
        <v>0.74212500000000003</v>
      </c>
      <c r="E72" s="4">
        <v>-1.7072499999999999</v>
      </c>
      <c r="F72" s="4">
        <v>-0.229333333</v>
      </c>
      <c r="G72" s="4">
        <v>-2.1305000000000001</v>
      </c>
      <c r="H72" s="4">
        <v>-1.7000000000000001E-2</v>
      </c>
      <c r="Q72" s="2"/>
      <c r="R72">
        <f t="shared" ca="1" si="5"/>
        <v>2.1035947741037901</v>
      </c>
      <c r="S72">
        <f t="shared" ca="1" si="5"/>
        <v>0.72071261197455905</v>
      </c>
      <c r="T72">
        <f t="shared" ca="1" si="5"/>
        <v>2.2250598028293282</v>
      </c>
      <c r="U72">
        <f t="shared" ca="1" si="5"/>
        <v>1.2196434358354404</v>
      </c>
      <c r="V72" t="str">
        <f t="shared" ca="1" si="6"/>
        <v>C2</v>
      </c>
      <c r="W72">
        <v>72</v>
      </c>
      <c r="X72" t="str">
        <f t="shared" ca="1" si="7"/>
        <v>C2</v>
      </c>
      <c r="Y72">
        <f t="shared" ca="1" si="8"/>
        <v>0</v>
      </c>
    </row>
    <row r="73" spans="1:25" x14ac:dyDescent="0.25">
      <c r="A73" t="s">
        <v>73</v>
      </c>
      <c r="B73" s="4">
        <v>6.7000000000000004E-2</v>
      </c>
      <c r="C73" s="4">
        <v>1.367</v>
      </c>
      <c r="D73" s="4">
        <v>1.144625</v>
      </c>
      <c r="E73" s="4">
        <v>-2.5049999999999999</v>
      </c>
      <c r="F73" s="4">
        <v>-1.091</v>
      </c>
      <c r="G73" s="4">
        <v>-1.8632500000000001</v>
      </c>
      <c r="H73" s="4">
        <v>-0.495</v>
      </c>
      <c r="Q73" s="2"/>
      <c r="R73">
        <f t="shared" ca="1" si="5"/>
        <v>2.622706304775448</v>
      </c>
      <c r="S73">
        <f t="shared" ca="1" si="5"/>
        <v>1.5780040846212675</v>
      </c>
      <c r="T73">
        <f t="shared" ca="1" si="5"/>
        <v>3.2520143045145371</v>
      </c>
      <c r="U73">
        <f t="shared" ca="1" si="5"/>
        <v>0.88053936736204264</v>
      </c>
      <c r="V73" t="str">
        <f t="shared" ca="1" si="6"/>
        <v>C4</v>
      </c>
      <c r="W73">
        <v>73</v>
      </c>
      <c r="X73" t="str">
        <f t="shared" ca="1" si="7"/>
        <v>C4</v>
      </c>
      <c r="Y73">
        <f t="shared" ca="1" si="8"/>
        <v>0</v>
      </c>
    </row>
    <row r="74" spans="1:25" x14ac:dyDescent="0.25">
      <c r="A74" t="s">
        <v>74</v>
      </c>
      <c r="B74" s="4">
        <v>-0.59624999999999995</v>
      </c>
      <c r="C74" s="4">
        <v>1.1207499999999999</v>
      </c>
      <c r="D74" s="4">
        <v>0.64612499999999995</v>
      </c>
      <c r="E74" s="4">
        <v>-1.175</v>
      </c>
      <c r="F74" s="4">
        <v>-0.87350000000000005</v>
      </c>
      <c r="G74" s="4">
        <v>-1.9597500000000001</v>
      </c>
      <c r="H74" s="4">
        <v>-1.4486666669999999</v>
      </c>
      <c r="Q74" s="2"/>
      <c r="R74">
        <f t="shared" ca="1" si="5"/>
        <v>1.5943283513898803</v>
      </c>
      <c r="S74">
        <f t="shared" ca="1" si="5"/>
        <v>1.4079073262201991</v>
      </c>
      <c r="T74">
        <f t="shared" ca="1" si="5"/>
        <v>3.4693766145386662</v>
      </c>
      <c r="U74">
        <f t="shared" ca="1" si="5"/>
        <v>1.3659025086813845</v>
      </c>
      <c r="V74" t="str">
        <f t="shared" ca="1" si="6"/>
        <v>C4</v>
      </c>
      <c r="W74">
        <v>74</v>
      </c>
      <c r="X74" t="str">
        <f t="shared" ca="1" si="7"/>
        <v>C4</v>
      </c>
      <c r="Y74">
        <f t="shared" ca="1" si="8"/>
        <v>0</v>
      </c>
    </row>
    <row r="75" spans="1:25" x14ac:dyDescent="0.25">
      <c r="A75" t="s">
        <v>75</v>
      </c>
      <c r="B75" s="4">
        <v>-0.19516666699999999</v>
      </c>
      <c r="C75" s="4">
        <v>1.3565</v>
      </c>
      <c r="D75" s="4">
        <v>0.78087499999999999</v>
      </c>
      <c r="E75" s="4">
        <v>0.95750000000000002</v>
      </c>
      <c r="F75" s="4">
        <v>0.626</v>
      </c>
      <c r="G75" s="4">
        <v>-2.2690000000000001</v>
      </c>
      <c r="H75" s="4">
        <v>-0.87283333299999999</v>
      </c>
      <c r="Q75" s="2"/>
      <c r="R75">
        <f t="shared" ca="1" si="5"/>
        <v>1.6450345153964292</v>
      </c>
      <c r="S75">
        <f t="shared" ca="1" si="5"/>
        <v>2.5543379534652533</v>
      </c>
      <c r="T75">
        <f t="shared" ca="1" si="5"/>
        <v>3.648013074146665</v>
      </c>
      <c r="U75">
        <f t="shared" ca="1" si="5"/>
        <v>3.5154578341459475</v>
      </c>
      <c r="V75" t="str">
        <f t="shared" ca="1" si="6"/>
        <v>C1</v>
      </c>
      <c r="W75">
        <v>75</v>
      </c>
      <c r="X75" t="str">
        <f t="shared" ca="1" si="7"/>
        <v>C1</v>
      </c>
      <c r="Y75">
        <f t="shared" ca="1" si="8"/>
        <v>0</v>
      </c>
    </row>
    <row r="76" spans="1:25" x14ac:dyDescent="0.25">
      <c r="A76" t="s">
        <v>76</v>
      </c>
      <c r="B76" s="4">
        <v>-2.1749999999999999E-2</v>
      </c>
      <c r="C76" s="4">
        <v>1.149</v>
      </c>
      <c r="D76" s="4">
        <v>0.45787499999999998</v>
      </c>
      <c r="E76" s="4">
        <v>-1.7277499999999999</v>
      </c>
      <c r="F76" s="4">
        <v>-0.39050000000000001</v>
      </c>
      <c r="G76" s="4">
        <v>-2.7127500000000002</v>
      </c>
      <c r="H76" s="4">
        <v>-0.253</v>
      </c>
      <c r="Q76" s="2"/>
      <c r="R76">
        <f t="shared" ca="1" si="5"/>
        <v>1.8690835145264832</v>
      </c>
      <c r="S76">
        <f t="shared" ca="1" si="5"/>
        <v>0.79155855902532568</v>
      </c>
      <c r="T76">
        <f t="shared" ca="1" si="5"/>
        <v>2.9114232407055951</v>
      </c>
      <c r="U76">
        <f t="shared" ca="1" si="5"/>
        <v>1.334078914242536</v>
      </c>
      <c r="V76" t="str">
        <f t="shared" ca="1" si="6"/>
        <v>C2</v>
      </c>
      <c r="W76">
        <v>76</v>
      </c>
      <c r="X76" t="str">
        <f t="shared" ca="1" si="7"/>
        <v>C2</v>
      </c>
      <c r="Y76">
        <f t="shared" ca="1" si="8"/>
        <v>0</v>
      </c>
    </row>
    <row r="77" spans="1:25" x14ac:dyDescent="0.25">
      <c r="A77" t="s">
        <v>2</v>
      </c>
      <c r="B77" s="4">
        <v>-0.23533333300000001</v>
      </c>
      <c r="C77" s="4">
        <v>0.91149999999999998</v>
      </c>
      <c r="D77" s="4">
        <v>1.36775</v>
      </c>
      <c r="E77" s="4">
        <v>-2.5975000000000001</v>
      </c>
      <c r="F77" s="4">
        <v>-1.5016666670000001</v>
      </c>
      <c r="G77" s="4">
        <v>-2.3199999999999998</v>
      </c>
      <c r="H77" s="4">
        <v>-0.13450000000000001</v>
      </c>
      <c r="Q77" s="2"/>
      <c r="R77">
        <f t="shared" ca="1" si="5"/>
        <v>3.0315332291213934</v>
      </c>
      <c r="S77">
        <f t="shared" ca="1" si="5"/>
        <v>1.9590308049906109</v>
      </c>
      <c r="T77">
        <f t="shared" ca="1" si="5"/>
        <v>3.2517492912102628</v>
      </c>
      <c r="U77">
        <f t="shared" ca="1" si="5"/>
        <v>0.93746982107354349</v>
      </c>
      <c r="V77" t="str">
        <f t="shared" ca="1" si="6"/>
        <v>C4</v>
      </c>
      <c r="W77">
        <v>77</v>
      </c>
      <c r="X77" t="str">
        <f t="shared" ca="1" si="7"/>
        <v>C4</v>
      </c>
      <c r="Y77">
        <f t="shared" ca="1" si="8"/>
        <v>0</v>
      </c>
    </row>
    <row r="78" spans="1:25" x14ac:dyDescent="0.25">
      <c r="A78" t="s">
        <v>77</v>
      </c>
      <c r="B78" s="4">
        <v>-0.14274999999999999</v>
      </c>
      <c r="C78" s="4">
        <v>2.0357500000000002</v>
      </c>
      <c r="D78" s="4">
        <v>0.76012500000000005</v>
      </c>
      <c r="E78" s="4">
        <v>-1.01</v>
      </c>
      <c r="F78" s="4">
        <v>1.33</v>
      </c>
      <c r="G78" s="4">
        <v>-2.306</v>
      </c>
      <c r="H78" s="4">
        <v>-0.65849999999999997</v>
      </c>
      <c r="Q78" s="2"/>
      <c r="R78">
        <f t="shared" ca="1" si="5"/>
        <v>1.5410938094062008</v>
      </c>
      <c r="S78">
        <f t="shared" ca="1" si="5"/>
        <v>1.7359841784379089</v>
      </c>
      <c r="T78">
        <f t="shared" ca="1" si="5"/>
        <v>3.6478608134563832</v>
      </c>
      <c r="U78">
        <f t="shared" ca="1" si="5"/>
        <v>2.8822408053329864</v>
      </c>
      <c r="V78" t="str">
        <f t="shared" ca="1" si="6"/>
        <v>C1</v>
      </c>
      <c r="W78">
        <v>78</v>
      </c>
      <c r="X78" t="str">
        <f t="shared" ca="1" si="7"/>
        <v>C1</v>
      </c>
      <c r="Y78">
        <f t="shared" ca="1" si="8"/>
        <v>0</v>
      </c>
    </row>
    <row r="79" spans="1:25" x14ac:dyDescent="0.25">
      <c r="A79" t="s">
        <v>78</v>
      </c>
      <c r="B79" s="4">
        <v>0.18208333300000001</v>
      </c>
      <c r="C79" s="4">
        <v>1.556</v>
      </c>
      <c r="D79" s="4">
        <v>1.214375</v>
      </c>
      <c r="E79" s="4">
        <v>-1.02725</v>
      </c>
      <c r="F79" s="4">
        <v>0.33400000000000002</v>
      </c>
      <c r="G79" s="4">
        <v>-2.5587499999999999</v>
      </c>
      <c r="H79" s="4">
        <v>-0.94550000000000001</v>
      </c>
      <c r="Q79" s="2"/>
      <c r="R79">
        <f t="shared" ca="1" si="5"/>
        <v>1.1590969827628079</v>
      </c>
      <c r="S79">
        <f t="shared" ca="1" si="5"/>
        <v>1.105525917001229</v>
      </c>
      <c r="T79">
        <f t="shared" ca="1" si="5"/>
        <v>3.2006945981710491</v>
      </c>
      <c r="U79">
        <f t="shared" ca="1" si="5"/>
        <v>2.0693302412609818</v>
      </c>
      <c r="V79" t="str">
        <f t="shared" ca="1" si="6"/>
        <v>C2</v>
      </c>
      <c r="W79">
        <v>79</v>
      </c>
      <c r="X79" t="str">
        <f t="shared" ca="1" si="7"/>
        <v>C2</v>
      </c>
      <c r="Y79">
        <f t="shared" ca="1" si="8"/>
        <v>0</v>
      </c>
    </row>
    <row r="80" spans="1:25" x14ac:dyDescent="0.25">
      <c r="A80" t="s">
        <v>79</v>
      </c>
      <c r="B80" s="4">
        <v>-0.22308333299999999</v>
      </c>
      <c r="C80" s="4">
        <v>0.42549999999999999</v>
      </c>
      <c r="D80" s="4">
        <v>1.009625</v>
      </c>
      <c r="E80" s="4">
        <v>-2.1542500000000002</v>
      </c>
      <c r="F80" s="4">
        <v>-1.312333333</v>
      </c>
      <c r="G80" s="4">
        <v>-2.7595000000000001</v>
      </c>
      <c r="H80" s="4">
        <v>-0.32400000000000001</v>
      </c>
      <c r="Q80" s="2"/>
      <c r="R80">
        <f t="shared" ca="1" si="5"/>
        <v>2.7854623202012019</v>
      </c>
      <c r="S80">
        <f t="shared" ca="1" si="5"/>
        <v>1.7137848547637342</v>
      </c>
      <c r="T80">
        <f t="shared" ca="1" si="5"/>
        <v>2.9743879484070148</v>
      </c>
      <c r="U80">
        <f t="shared" ca="1" si="5"/>
        <v>1.0197584199039729</v>
      </c>
      <c r="V80" t="str">
        <f t="shared" ca="1" si="6"/>
        <v>C4</v>
      </c>
      <c r="W80">
        <v>80</v>
      </c>
      <c r="X80" t="str">
        <f t="shared" ca="1" si="7"/>
        <v>C4</v>
      </c>
      <c r="Y80">
        <f t="shared" ca="1" si="8"/>
        <v>0</v>
      </c>
    </row>
    <row r="81" spans="1:25" x14ac:dyDescent="0.25">
      <c r="A81" t="s">
        <v>80</v>
      </c>
      <c r="B81" s="4">
        <v>-0.51783333300000001</v>
      </c>
      <c r="C81" s="4">
        <v>1.0249999999999999</v>
      </c>
      <c r="D81" s="4">
        <v>1.1848749999999999</v>
      </c>
      <c r="E81" s="4">
        <v>-1.903</v>
      </c>
      <c r="F81" s="4">
        <v>-0.86566666699999995</v>
      </c>
      <c r="G81" s="4">
        <v>-2.48725</v>
      </c>
      <c r="H81" s="4">
        <v>-0.89549999999999996</v>
      </c>
      <c r="Q81" s="2"/>
      <c r="R81">
        <f t="shared" ca="1" si="5"/>
        <v>2.0050439711390791</v>
      </c>
      <c r="S81">
        <f t="shared" ca="1" si="5"/>
        <v>1.1828433225498631</v>
      </c>
      <c r="T81">
        <f t="shared" ca="1" si="5"/>
        <v>3.2528066804667999</v>
      </c>
      <c r="U81">
        <f t="shared" ca="1" si="5"/>
        <v>0.61870203572209215</v>
      </c>
      <c r="V81" t="str">
        <f t="shared" ca="1" si="6"/>
        <v>C4</v>
      </c>
      <c r="W81">
        <v>81</v>
      </c>
      <c r="X81" t="str">
        <f t="shared" ca="1" si="7"/>
        <v>C4</v>
      </c>
      <c r="Y81">
        <f t="shared" ca="1" si="8"/>
        <v>0</v>
      </c>
    </row>
    <row r="82" spans="1:25" x14ac:dyDescent="0.25">
      <c r="A82" t="s">
        <v>81</v>
      </c>
      <c r="B82" s="4">
        <v>-0.66091666699999996</v>
      </c>
      <c r="C82" s="4">
        <v>1.15025</v>
      </c>
      <c r="D82" s="4">
        <v>1.8325</v>
      </c>
      <c r="E82" s="4">
        <v>-2.1647500000000002</v>
      </c>
      <c r="F82" s="4">
        <v>-0.58283333299999995</v>
      </c>
      <c r="G82" s="4">
        <v>-1.9007499999999999</v>
      </c>
      <c r="H82" s="4">
        <v>-0.78749999999999998</v>
      </c>
      <c r="Q82" s="2"/>
      <c r="R82">
        <f t="shared" ca="1" si="5"/>
        <v>2.3280494476825235</v>
      </c>
      <c r="S82">
        <f t="shared" ca="1" si="5"/>
        <v>1.5039173022719294</v>
      </c>
      <c r="T82">
        <f t="shared" ca="1" si="5"/>
        <v>3.2389049290728562</v>
      </c>
      <c r="U82">
        <f t="shared" ca="1" si="5"/>
        <v>0.9712477029689478</v>
      </c>
      <c r="V82" t="str">
        <f t="shared" ca="1" si="6"/>
        <v>C4</v>
      </c>
      <c r="W82">
        <v>82</v>
      </c>
      <c r="X82" t="str">
        <f t="shared" ca="1" si="7"/>
        <v>C4</v>
      </c>
      <c r="Y82">
        <f t="shared" ca="1" si="8"/>
        <v>0</v>
      </c>
    </row>
    <row r="83" spans="1:25" x14ac:dyDescent="0.25">
      <c r="A83" t="s">
        <v>82</v>
      </c>
      <c r="B83" s="4">
        <v>-2.1166667E-2</v>
      </c>
      <c r="C83" s="4">
        <v>1.125</v>
      </c>
      <c r="D83" s="4">
        <v>1.76</v>
      </c>
      <c r="E83" s="4">
        <v>-1.4355</v>
      </c>
      <c r="F83" s="4">
        <v>0.50616666700000001</v>
      </c>
      <c r="G83" s="4">
        <v>-2.2907500000000001</v>
      </c>
      <c r="H83" s="4">
        <v>-0.43533333299999999</v>
      </c>
      <c r="Q83" s="2"/>
      <c r="R83">
        <f t="shared" ca="1" si="5"/>
        <v>1.8472070967019234</v>
      </c>
      <c r="S83">
        <f t="shared" ca="1" si="5"/>
        <v>1.1426395533540745</v>
      </c>
      <c r="T83">
        <f t="shared" ca="1" si="5"/>
        <v>2.6660363042550852</v>
      </c>
      <c r="U83">
        <f t="shared" ca="1" si="5"/>
        <v>1.9206604486105945</v>
      </c>
      <c r="V83" t="str">
        <f t="shared" ca="1" si="6"/>
        <v>C2</v>
      </c>
      <c r="W83">
        <v>83</v>
      </c>
      <c r="X83" t="str">
        <f t="shared" ca="1" si="7"/>
        <v>C2</v>
      </c>
      <c r="Y83">
        <f t="shared" ca="1" si="8"/>
        <v>0</v>
      </c>
    </row>
    <row r="84" spans="1:25" x14ac:dyDescent="0.25">
      <c r="A84" t="s">
        <v>83</v>
      </c>
      <c r="B84" s="4">
        <v>-1.009416667</v>
      </c>
      <c r="C84" s="4">
        <v>2.145</v>
      </c>
      <c r="D84" s="4">
        <v>1.065625</v>
      </c>
      <c r="E84" s="4">
        <v>-0.88424999999999998</v>
      </c>
      <c r="F84" s="4">
        <v>0.16716666699999999</v>
      </c>
      <c r="G84" s="4">
        <v>-2.0545</v>
      </c>
      <c r="H84" s="4">
        <v>-1.022333333</v>
      </c>
      <c r="Q84" s="2"/>
      <c r="R84">
        <f t="shared" ca="1" si="5"/>
        <v>0.85439027468230666</v>
      </c>
      <c r="S84">
        <f t="shared" ca="1" si="5"/>
        <v>1.5652781886087106</v>
      </c>
      <c r="T84">
        <f t="shared" ca="1" si="5"/>
        <v>3.9011402216872586</v>
      </c>
      <c r="U84">
        <f t="shared" ca="1" si="5"/>
        <v>2.1500677511637352</v>
      </c>
      <c r="V84" t="str">
        <f t="shared" ca="1" si="6"/>
        <v>C1</v>
      </c>
      <c r="W84">
        <v>84</v>
      </c>
      <c r="X84" t="str">
        <f t="shared" ca="1" si="7"/>
        <v>C1</v>
      </c>
      <c r="Y84">
        <f t="shared" ca="1" si="8"/>
        <v>0</v>
      </c>
    </row>
    <row r="85" spans="1:25" x14ac:dyDescent="0.25">
      <c r="A85" t="s">
        <v>84</v>
      </c>
      <c r="B85" s="4">
        <v>-0.306666667</v>
      </c>
      <c r="C85" s="4">
        <v>1.3422499999999999</v>
      </c>
      <c r="D85" s="4">
        <v>1.0443750000000001</v>
      </c>
      <c r="E85" s="4">
        <v>-1.3692500000000001</v>
      </c>
      <c r="F85" s="4">
        <v>-0.179666667</v>
      </c>
      <c r="G85" s="4">
        <v>-2.9152499999999999</v>
      </c>
      <c r="H85" s="4">
        <v>-0.40616666699999998</v>
      </c>
      <c r="Q85" s="2"/>
      <c r="R85">
        <f t="shared" ca="1" si="5"/>
        <v>1.412424957337328</v>
      </c>
      <c r="S85">
        <f t="shared" ca="1" si="5"/>
        <v>0.80348435068972457</v>
      </c>
      <c r="T85">
        <f t="shared" ca="1" si="5"/>
        <v>3.0899774490046217</v>
      </c>
      <c r="U85">
        <f t="shared" ca="1" si="5"/>
        <v>1.4667457902784331</v>
      </c>
      <c r="V85" t="str">
        <f t="shared" ca="1" si="6"/>
        <v>C2</v>
      </c>
      <c r="W85">
        <v>85</v>
      </c>
      <c r="X85" t="str">
        <f t="shared" ca="1" si="7"/>
        <v>C2</v>
      </c>
      <c r="Y85">
        <f t="shared" ca="1" si="8"/>
        <v>0</v>
      </c>
    </row>
    <row r="86" spans="1:25" x14ac:dyDescent="0.25">
      <c r="A86" t="s">
        <v>85</v>
      </c>
      <c r="B86" s="4">
        <v>-0.24024999999999999</v>
      </c>
      <c r="C86" s="4">
        <v>0.84750000000000003</v>
      </c>
      <c r="D86" s="4">
        <v>1.3198749999999999</v>
      </c>
      <c r="E86" s="4">
        <v>-2.2647499999999998</v>
      </c>
      <c r="F86" s="4">
        <v>-0.79116666700000005</v>
      </c>
      <c r="G86" s="4">
        <v>-2.6789999999999998</v>
      </c>
      <c r="H86" s="4">
        <v>0.14683333300000001</v>
      </c>
      <c r="Q86" s="2"/>
      <c r="R86">
        <f t="shared" ca="1" si="5"/>
        <v>2.6268430968351604</v>
      </c>
      <c r="S86">
        <f t="shared" ca="1" si="5"/>
        <v>1.4541991045699003</v>
      </c>
      <c r="T86">
        <f t="shared" ca="1" si="5"/>
        <v>2.8250613101868152</v>
      </c>
      <c r="U86">
        <f t="shared" ca="1" si="5"/>
        <v>1.0649355742674174</v>
      </c>
      <c r="V86" t="str">
        <f t="shared" ca="1" si="6"/>
        <v>C4</v>
      </c>
      <c r="W86">
        <v>86</v>
      </c>
      <c r="X86" t="str">
        <f t="shared" ca="1" si="7"/>
        <v>C4</v>
      </c>
      <c r="Y86">
        <f t="shared" ca="1" si="8"/>
        <v>0</v>
      </c>
    </row>
    <row r="87" spans="1:25" x14ac:dyDescent="0.25">
      <c r="A87" t="s">
        <v>86</v>
      </c>
      <c r="B87" s="4">
        <v>-0.47291666700000001</v>
      </c>
      <c r="C87" s="4">
        <v>1.5914999999999999</v>
      </c>
      <c r="D87" s="4">
        <v>1.9370000000000001</v>
      </c>
      <c r="E87" s="4">
        <v>-2.17875</v>
      </c>
      <c r="F87" s="4">
        <v>-1.117</v>
      </c>
      <c r="G87" s="4">
        <v>-2.3719999999999999</v>
      </c>
      <c r="H87" s="4">
        <v>-0.45016666700000002</v>
      </c>
      <c r="Q87" s="2"/>
      <c r="R87">
        <f t="shared" ca="1" si="5"/>
        <v>2.4577559643751314</v>
      </c>
      <c r="S87">
        <f t="shared" ca="1" si="5"/>
        <v>1.7900476581988609</v>
      </c>
      <c r="T87">
        <f t="shared" ca="1" si="5"/>
        <v>3.5834236329085409</v>
      </c>
      <c r="U87">
        <f t="shared" ca="1" si="5"/>
        <v>1.0636515585253679</v>
      </c>
      <c r="V87" t="str">
        <f t="shared" ca="1" si="6"/>
        <v>C4</v>
      </c>
      <c r="W87">
        <v>87</v>
      </c>
      <c r="X87" t="str">
        <f t="shared" ca="1" si="7"/>
        <v>C4</v>
      </c>
      <c r="Y87">
        <f t="shared" ca="1" si="8"/>
        <v>0</v>
      </c>
    </row>
    <row r="88" spans="1:25" x14ac:dyDescent="0.25">
      <c r="A88" t="s">
        <v>87</v>
      </c>
      <c r="B88" s="4">
        <v>-0.414583333</v>
      </c>
      <c r="C88" s="4">
        <v>2.7562500000000001</v>
      </c>
      <c r="D88" s="4">
        <v>1.39225</v>
      </c>
      <c r="E88" s="4">
        <v>-0.52375000000000005</v>
      </c>
      <c r="F88" s="4">
        <v>-1.3165</v>
      </c>
      <c r="G88" s="4">
        <v>-2.4634999999999998</v>
      </c>
      <c r="H88" s="4">
        <v>-1.1639999999999999</v>
      </c>
      <c r="Q88" s="2"/>
      <c r="R88">
        <f t="shared" ca="1" si="5"/>
        <v>1.6737226764547792</v>
      </c>
      <c r="S88">
        <f t="shared" ca="1" si="5"/>
        <v>2.4404610815249042</v>
      </c>
      <c r="T88">
        <f t="shared" ca="1" si="5"/>
        <v>4.5851722083440638</v>
      </c>
      <c r="U88">
        <f t="shared" ca="1" si="5"/>
        <v>2.4394130086972616</v>
      </c>
      <c r="V88" t="str">
        <f t="shared" ca="1" si="6"/>
        <v>C1</v>
      </c>
      <c r="W88">
        <v>88</v>
      </c>
      <c r="X88" t="str">
        <f t="shared" ca="1" si="7"/>
        <v>C1</v>
      </c>
      <c r="Y88">
        <f t="shared" ca="1" si="8"/>
        <v>0</v>
      </c>
    </row>
    <row r="89" spans="1:25" x14ac:dyDescent="0.25">
      <c r="A89" t="s">
        <v>88</v>
      </c>
      <c r="B89" s="4">
        <v>-0.63949999999999996</v>
      </c>
      <c r="C89" s="4">
        <v>1.2142500000000001</v>
      </c>
      <c r="D89" s="4">
        <v>1.335375</v>
      </c>
      <c r="E89" s="4">
        <v>-1.8245</v>
      </c>
      <c r="F89" s="4">
        <v>-2.6833333000000001E-2</v>
      </c>
      <c r="G89" s="4">
        <v>-1.7217499999999999</v>
      </c>
      <c r="H89" s="4">
        <v>-0.33833333300000001</v>
      </c>
      <c r="Q89" s="2"/>
      <c r="R89">
        <f t="shared" ca="1" si="5"/>
        <v>1.912505329486988</v>
      </c>
      <c r="S89">
        <f t="shared" ca="1" si="5"/>
        <v>0.9265088941743157</v>
      </c>
      <c r="T89">
        <f t="shared" ca="1" si="5"/>
        <v>2.7917090247402121</v>
      </c>
      <c r="U89">
        <f t="shared" ca="1" si="5"/>
        <v>1.2032645344739565</v>
      </c>
      <c r="V89" t="str">
        <f t="shared" ca="1" si="6"/>
        <v>C2</v>
      </c>
      <c r="W89">
        <v>89</v>
      </c>
      <c r="X89" t="str">
        <f t="shared" ca="1" si="7"/>
        <v>C2</v>
      </c>
      <c r="Y89">
        <f t="shared" ca="1" si="8"/>
        <v>0</v>
      </c>
    </row>
    <row r="90" spans="1:25" x14ac:dyDescent="0.25">
      <c r="A90" t="s">
        <v>89</v>
      </c>
      <c r="B90" s="4">
        <v>-0.92158333299999995</v>
      </c>
      <c r="C90" s="4">
        <v>1.5495000000000001</v>
      </c>
      <c r="D90" s="4">
        <v>1.3123750000000001</v>
      </c>
      <c r="E90" s="4">
        <v>-2.1832500000000001</v>
      </c>
      <c r="F90" s="4">
        <v>-0.84316666699999998</v>
      </c>
      <c r="G90" s="4">
        <v>-1.96225</v>
      </c>
      <c r="H90" s="4">
        <v>-0.60266666700000004</v>
      </c>
      <c r="Q90" s="2"/>
      <c r="R90">
        <f t="shared" ca="1" si="5"/>
        <v>2.1812443194950144</v>
      </c>
      <c r="S90">
        <f t="shared" ca="1" si="5"/>
        <v>1.4655861075575194</v>
      </c>
      <c r="T90">
        <f t="shared" ca="1" si="5"/>
        <v>3.5435749284919256</v>
      </c>
      <c r="U90">
        <f t="shared" ca="1" si="5"/>
        <v>0.75476960991079778</v>
      </c>
      <c r="V90" t="str">
        <f t="shared" ca="1" si="6"/>
        <v>C4</v>
      </c>
      <c r="W90">
        <v>90</v>
      </c>
      <c r="X90" t="str">
        <f t="shared" ca="1" si="7"/>
        <v>C4</v>
      </c>
      <c r="Y90">
        <f t="shared" ca="1" si="8"/>
        <v>0</v>
      </c>
    </row>
    <row r="91" spans="1:25" x14ac:dyDescent="0.25">
      <c r="A91" t="s">
        <v>90</v>
      </c>
      <c r="B91" s="4">
        <v>-0.315</v>
      </c>
      <c r="C91" s="4">
        <v>1.21225</v>
      </c>
      <c r="D91" s="4">
        <v>1.2210000000000001</v>
      </c>
      <c r="E91" s="4">
        <v>-2.0097499999999999</v>
      </c>
      <c r="F91" s="4">
        <v>-0.68700000000000006</v>
      </c>
      <c r="G91" s="4">
        <v>-2.0465</v>
      </c>
      <c r="H91" s="4">
        <v>-0.489166667</v>
      </c>
      <c r="Q91" s="2"/>
      <c r="R91">
        <f t="shared" ca="1" si="5"/>
        <v>2.0320630019561055</v>
      </c>
      <c r="S91">
        <f t="shared" ca="1" si="5"/>
        <v>0.95165486473054994</v>
      </c>
      <c r="T91">
        <f t="shared" ca="1" si="5"/>
        <v>2.9488205859977779</v>
      </c>
      <c r="U91">
        <f t="shared" ca="1" si="5"/>
        <v>0.52409059488768661</v>
      </c>
      <c r="V91" t="str">
        <f t="shared" ca="1" si="6"/>
        <v>C4</v>
      </c>
      <c r="W91">
        <v>91</v>
      </c>
      <c r="X91" t="str">
        <f t="shared" ca="1" si="7"/>
        <v>C4</v>
      </c>
      <c r="Y91">
        <f t="shared" ca="1" si="8"/>
        <v>0</v>
      </c>
    </row>
    <row r="92" spans="1:25" x14ac:dyDescent="0.25">
      <c r="A92" t="s">
        <v>91</v>
      </c>
      <c r="B92" s="4">
        <v>6.0000000000000001E-3</v>
      </c>
      <c r="C92" s="4">
        <v>1.3472500000000001</v>
      </c>
      <c r="D92" s="4">
        <v>0.74562499999999998</v>
      </c>
      <c r="E92" s="4">
        <v>-1.35625</v>
      </c>
      <c r="F92" s="4">
        <v>-0.38900000000000001</v>
      </c>
      <c r="G92" s="4">
        <v>-2.552</v>
      </c>
      <c r="H92" s="4">
        <v>-0.69450000000000001</v>
      </c>
      <c r="Q92" s="2"/>
      <c r="R92">
        <f t="shared" ca="1" si="5"/>
        <v>1.3383549718537573</v>
      </c>
      <c r="S92">
        <f t="shared" ca="1" si="5"/>
        <v>0.62095621398299417</v>
      </c>
      <c r="T92">
        <f t="shared" ca="1" si="5"/>
        <v>3.0375022316107305</v>
      </c>
      <c r="U92">
        <f t="shared" ca="1" si="5"/>
        <v>1.32088868625884</v>
      </c>
      <c r="V92" t="str">
        <f t="shared" ca="1" si="6"/>
        <v>C2</v>
      </c>
      <c r="W92">
        <v>92</v>
      </c>
      <c r="X92" t="str">
        <f t="shared" ca="1" si="7"/>
        <v>C2</v>
      </c>
      <c r="Y92">
        <f t="shared" ca="1" si="8"/>
        <v>0</v>
      </c>
    </row>
    <row r="93" spans="1:25" x14ac:dyDescent="0.25">
      <c r="A93" t="s">
        <v>92</v>
      </c>
      <c r="B93" s="4">
        <v>2.5749999999999999E-2</v>
      </c>
      <c r="C93" s="4">
        <v>1.2524999999999999</v>
      </c>
      <c r="D93" s="4">
        <v>1.0638749999999999</v>
      </c>
      <c r="E93" s="4">
        <v>-1.70075</v>
      </c>
      <c r="F93" s="4">
        <v>-1.389</v>
      </c>
      <c r="G93" s="4">
        <v>-2.3242500000000001</v>
      </c>
      <c r="H93" s="4">
        <v>-9.6000000000000002E-2</v>
      </c>
      <c r="Q93" s="2"/>
      <c r="R93">
        <f t="shared" ca="1" si="5"/>
        <v>2.2720635011824415</v>
      </c>
      <c r="S93">
        <f t="shared" ca="1" si="5"/>
        <v>1.4292740502787651</v>
      </c>
      <c r="T93">
        <f t="shared" ca="1" si="5"/>
        <v>2.9977126898007866</v>
      </c>
      <c r="U93">
        <f t="shared" ca="1" si="5"/>
        <v>0.90082681010511978</v>
      </c>
      <c r="V93" t="str">
        <f t="shared" ca="1" si="6"/>
        <v>C4</v>
      </c>
      <c r="W93">
        <v>93</v>
      </c>
      <c r="X93" t="str">
        <f t="shared" ca="1" si="7"/>
        <v>C4</v>
      </c>
      <c r="Y93">
        <f t="shared" ca="1" si="8"/>
        <v>0</v>
      </c>
    </row>
    <row r="94" spans="1:25" x14ac:dyDescent="0.25">
      <c r="A94" t="s">
        <v>93</v>
      </c>
      <c r="B94" s="4">
        <v>-0.26491666699999999</v>
      </c>
      <c r="C94" s="4">
        <v>1.0369999999999999</v>
      </c>
      <c r="D94" s="4">
        <v>1.7388749999999999</v>
      </c>
      <c r="E94" s="4">
        <v>-1.5222500000000001</v>
      </c>
      <c r="F94" s="4">
        <v>-1.5501666670000001</v>
      </c>
      <c r="G94" s="4">
        <v>-2.1307499999999999</v>
      </c>
      <c r="H94" s="4">
        <v>-0.52066666699999997</v>
      </c>
      <c r="Q94" s="2"/>
      <c r="R94">
        <f t="shared" ca="1" si="5"/>
        <v>2.3773267032610592</v>
      </c>
      <c r="S94">
        <f t="shared" ca="1" si="5"/>
        <v>1.7572673707331841</v>
      </c>
      <c r="T94">
        <f t="shared" ca="1" si="5"/>
        <v>3.1271132207616197</v>
      </c>
      <c r="U94">
        <f t="shared" ca="1" si="5"/>
        <v>0.96614578977495802</v>
      </c>
      <c r="V94" t="str">
        <f t="shared" ca="1" si="6"/>
        <v>C4</v>
      </c>
      <c r="W94">
        <v>94</v>
      </c>
      <c r="X94" t="str">
        <f t="shared" ca="1" si="7"/>
        <v>C4</v>
      </c>
      <c r="Y94">
        <f t="shared" ca="1" si="8"/>
        <v>0</v>
      </c>
    </row>
    <row r="95" spans="1:25" x14ac:dyDescent="0.25">
      <c r="A95" t="s">
        <v>94</v>
      </c>
      <c r="B95" s="4">
        <v>-0.38824999999999998</v>
      </c>
      <c r="C95" s="4">
        <v>1.11025</v>
      </c>
      <c r="D95" s="4">
        <v>1.164625</v>
      </c>
      <c r="E95" s="4">
        <v>-1.38</v>
      </c>
      <c r="F95" s="4">
        <v>-0.66533333299999997</v>
      </c>
      <c r="G95" s="4">
        <v>-2.4615</v>
      </c>
      <c r="H95" s="4">
        <v>-0.87150000000000005</v>
      </c>
      <c r="Q95" s="2"/>
      <c r="R95">
        <f t="shared" ca="1" si="5"/>
        <v>1.5039718986664707</v>
      </c>
      <c r="S95">
        <f t="shared" ca="1" si="5"/>
        <v>0.88813464494139571</v>
      </c>
      <c r="T95">
        <f t="shared" ca="1" si="5"/>
        <v>3.0753192699961707</v>
      </c>
      <c r="U95">
        <f t="shared" ca="1" si="5"/>
        <v>0.95202164209046769</v>
      </c>
      <c r="V95" t="str">
        <f t="shared" ca="1" si="6"/>
        <v>C2</v>
      </c>
      <c r="W95">
        <v>95</v>
      </c>
      <c r="X95" t="str">
        <f t="shared" ca="1" si="7"/>
        <v>C2</v>
      </c>
      <c r="Y95">
        <f t="shared" ca="1" si="8"/>
        <v>0</v>
      </c>
    </row>
    <row r="96" spans="1:25" x14ac:dyDescent="0.25">
      <c r="A96" t="s">
        <v>95</v>
      </c>
      <c r="B96" s="4">
        <v>-0.21741666700000001</v>
      </c>
      <c r="C96" s="4">
        <v>1.5269999999999999</v>
      </c>
      <c r="D96" s="4">
        <v>1.321625</v>
      </c>
      <c r="E96" s="4">
        <v>-1.4059999999999999</v>
      </c>
      <c r="F96" s="4">
        <v>8.9666667000000005E-2</v>
      </c>
      <c r="G96" s="4">
        <v>-2.5067499999999998</v>
      </c>
      <c r="H96" s="4">
        <v>6.8500000000000005E-2</v>
      </c>
      <c r="Q96" s="2"/>
      <c r="R96">
        <f t="shared" ca="1" si="5"/>
        <v>1.5998935538796464</v>
      </c>
      <c r="S96">
        <f t="shared" ca="1" si="5"/>
        <v>0.88710710018433969</v>
      </c>
      <c r="T96">
        <f t="shared" ca="1" si="5"/>
        <v>2.8388528399414161</v>
      </c>
      <c r="U96">
        <f t="shared" ca="1" si="5"/>
        <v>1.6539238405514911</v>
      </c>
      <c r="V96" t="str">
        <f t="shared" ca="1" si="6"/>
        <v>C2</v>
      </c>
      <c r="W96">
        <v>96</v>
      </c>
      <c r="X96" t="str">
        <f t="shared" ca="1" si="7"/>
        <v>C2</v>
      </c>
      <c r="Y96">
        <f t="shared" ca="1" si="8"/>
        <v>0</v>
      </c>
    </row>
    <row r="97" spans="1:25" x14ac:dyDescent="0.25">
      <c r="A97" t="s">
        <v>96</v>
      </c>
      <c r="B97" s="4">
        <v>-6.3833333000000006E-2</v>
      </c>
      <c r="C97" s="4">
        <v>0.91249999999999998</v>
      </c>
      <c r="D97" s="4">
        <v>1.1408750000000001</v>
      </c>
      <c r="E97" s="4">
        <v>-2.2280000000000002</v>
      </c>
      <c r="F97" s="4">
        <v>-0.58716666699999998</v>
      </c>
      <c r="G97" s="4">
        <v>-2.02325</v>
      </c>
      <c r="H97" s="4">
        <v>-0.13766666699999999</v>
      </c>
      <c r="Q97" s="2"/>
      <c r="R97">
        <f t="shared" ca="1" si="5"/>
        <v>2.4164539954767394</v>
      </c>
      <c r="S97">
        <f t="shared" ca="1" si="5"/>
        <v>1.0848363655650279</v>
      </c>
      <c r="T97">
        <f t="shared" ca="1" si="5"/>
        <v>2.5841290325424069</v>
      </c>
      <c r="U97">
        <f t="shared" ca="1" si="5"/>
        <v>0.83861955169314428</v>
      </c>
      <c r="V97" t="str">
        <f t="shared" ca="1" si="6"/>
        <v>C4</v>
      </c>
      <c r="W97">
        <v>97</v>
      </c>
      <c r="X97" t="str">
        <f t="shared" ca="1" si="7"/>
        <v>C4</v>
      </c>
      <c r="Y97">
        <f t="shared" ca="1" si="8"/>
        <v>0</v>
      </c>
    </row>
    <row r="98" spans="1:25" x14ac:dyDescent="0.25">
      <c r="A98" t="s">
        <v>97</v>
      </c>
      <c r="B98" s="4">
        <v>-0.376</v>
      </c>
      <c r="C98" s="4">
        <v>1.4365000000000001</v>
      </c>
      <c r="D98" s="4">
        <v>0.84875</v>
      </c>
      <c r="E98" s="4">
        <v>-1.8955</v>
      </c>
      <c r="F98" s="4">
        <v>-0.41349999999999998</v>
      </c>
      <c r="G98" s="4">
        <v>-2.7622499999999999</v>
      </c>
      <c r="H98" s="4">
        <v>-0.86850000000000005</v>
      </c>
      <c r="Q98" s="2"/>
      <c r="R98">
        <f t="shared" ca="1" si="5"/>
        <v>1.6859432049747278</v>
      </c>
      <c r="S98">
        <f t="shared" ca="1" si="5"/>
        <v>0.97011318701665861</v>
      </c>
      <c r="T98">
        <f t="shared" ca="1" si="5"/>
        <v>3.4584710012619979</v>
      </c>
      <c r="U98">
        <f t="shared" ca="1" si="5"/>
        <v>1.1583837531305912</v>
      </c>
      <c r="V98" t="str">
        <f t="shared" ca="1" si="6"/>
        <v>C2</v>
      </c>
      <c r="W98">
        <v>98</v>
      </c>
      <c r="X98" t="str">
        <f t="shared" ca="1" si="7"/>
        <v>C2</v>
      </c>
      <c r="Y98">
        <f t="shared" ca="1" si="8"/>
        <v>0</v>
      </c>
    </row>
    <row r="99" spans="1:25" x14ac:dyDescent="0.25">
      <c r="A99" t="s">
        <v>98</v>
      </c>
      <c r="B99" s="4">
        <v>-0.96875</v>
      </c>
      <c r="C99" s="4">
        <v>1.7415</v>
      </c>
      <c r="D99" s="4">
        <v>1.0903750000000001</v>
      </c>
      <c r="E99" s="4">
        <v>2.9499999999999998E-2</v>
      </c>
      <c r="F99" s="4">
        <v>0.24399999999999999</v>
      </c>
      <c r="G99" s="4">
        <v>-1.923</v>
      </c>
      <c r="H99" s="4">
        <v>-1.0778333330000001</v>
      </c>
      <c r="Q99" s="2"/>
      <c r="R99">
        <f t="shared" ca="1" si="5"/>
        <v>0.89892146073465973</v>
      </c>
      <c r="S99">
        <f t="shared" ca="1" si="5"/>
        <v>1.9486744795436171</v>
      </c>
      <c r="T99">
        <f t="shared" ca="1" si="5"/>
        <v>3.7448609055036126</v>
      </c>
      <c r="U99">
        <f t="shared" ca="1" si="5"/>
        <v>2.6535055499907245</v>
      </c>
      <c r="V99" t="str">
        <f t="shared" ca="1" si="6"/>
        <v>C1</v>
      </c>
      <c r="W99">
        <v>99</v>
      </c>
      <c r="X99" t="str">
        <f t="shared" ca="1" si="7"/>
        <v>C1</v>
      </c>
      <c r="Y99">
        <f t="shared" ca="1" si="8"/>
        <v>0</v>
      </c>
    </row>
    <row r="100" spans="1:25" x14ac:dyDescent="0.25">
      <c r="A100" t="s">
        <v>99</v>
      </c>
      <c r="B100" s="4">
        <v>-0.423666667</v>
      </c>
      <c r="C100" s="4">
        <v>0.64300000000000002</v>
      </c>
      <c r="D100" s="4">
        <v>1.393</v>
      </c>
      <c r="E100" s="4">
        <v>-1.3995</v>
      </c>
      <c r="F100" s="4">
        <v>0.2525</v>
      </c>
      <c r="G100" s="4">
        <v>-2.177</v>
      </c>
      <c r="H100" s="4">
        <v>-0.61483333299999998</v>
      </c>
      <c r="Q100" s="2"/>
      <c r="R100">
        <f t="shared" ca="1" si="5"/>
        <v>1.8076837485495529</v>
      </c>
      <c r="S100">
        <f t="shared" ca="1" si="5"/>
        <v>0.90163401169242818</v>
      </c>
      <c r="T100">
        <f t="shared" ca="1" si="5"/>
        <v>2.4718887177118227</v>
      </c>
      <c r="U100">
        <f t="shared" ca="1" si="5"/>
        <v>1.5739948372272212</v>
      </c>
      <c r="V100" t="str">
        <f t="shared" ca="1" si="6"/>
        <v>C2</v>
      </c>
      <c r="W100">
        <v>100</v>
      </c>
      <c r="X100" t="str">
        <f t="shared" ca="1" si="7"/>
        <v>C2</v>
      </c>
      <c r="Y100">
        <f t="shared" ca="1" si="8"/>
        <v>0</v>
      </c>
    </row>
    <row r="101" spans="1:25" x14ac:dyDescent="0.25">
      <c r="A101" t="s">
        <v>100</v>
      </c>
      <c r="B101" s="4">
        <v>-5.3583332999999997E-2</v>
      </c>
      <c r="C101" s="4">
        <v>1.3222499999999999</v>
      </c>
      <c r="D101" s="4">
        <v>0.93712499999999999</v>
      </c>
      <c r="E101" s="4">
        <v>-1.3334999999999999</v>
      </c>
      <c r="F101" s="4">
        <v>0.48849999999999999</v>
      </c>
      <c r="G101" s="4">
        <v>-1.7717499999999999</v>
      </c>
      <c r="H101" s="4">
        <v>-0.69899999999999995</v>
      </c>
      <c r="Q101" s="2"/>
      <c r="R101">
        <f t="shared" ca="1" si="5"/>
        <v>1.4732794462635745</v>
      </c>
      <c r="S101">
        <f t="shared" ca="1" si="5"/>
        <v>0.80598226813557539</v>
      </c>
      <c r="T101">
        <f t="shared" ca="1" si="5"/>
        <v>2.7772025656649135</v>
      </c>
      <c r="U101">
        <f t="shared" ca="1" si="5"/>
        <v>1.8664481939304216</v>
      </c>
      <c r="V101" t="str">
        <f t="shared" ca="1" si="6"/>
        <v>C2</v>
      </c>
      <c r="W101">
        <v>101</v>
      </c>
      <c r="X101" t="str">
        <f t="shared" ca="1" si="7"/>
        <v>C2</v>
      </c>
      <c r="Y101">
        <f t="shared" ca="1" si="8"/>
        <v>0</v>
      </c>
    </row>
    <row r="102" spans="1:25" x14ac:dyDescent="0.25">
      <c r="A102" t="s">
        <v>101</v>
      </c>
      <c r="B102" s="4">
        <v>-0.47691666700000002</v>
      </c>
      <c r="C102" s="4">
        <v>2.7530000000000001</v>
      </c>
      <c r="D102" s="4">
        <v>0.63812500000000005</v>
      </c>
      <c r="E102" s="4">
        <v>-0.2465</v>
      </c>
      <c r="F102" s="4">
        <v>0.18983333299999999</v>
      </c>
      <c r="G102" s="4">
        <v>-2.7317499999999999</v>
      </c>
      <c r="H102" s="4">
        <v>-0.754</v>
      </c>
      <c r="Q102" s="2"/>
      <c r="R102">
        <f t="shared" ca="1" si="5"/>
        <v>0.93950990579485238</v>
      </c>
      <c r="S102">
        <f t="shared" ca="1" si="5"/>
        <v>2.1354949484713028</v>
      </c>
      <c r="T102">
        <f t="shared" ca="1" si="5"/>
        <v>4.3572649314268235</v>
      </c>
      <c r="U102">
        <f t="shared" ca="1" si="5"/>
        <v>2.9175696301421712</v>
      </c>
      <c r="V102" t="str">
        <f t="shared" ca="1" si="6"/>
        <v>C1</v>
      </c>
      <c r="W102">
        <v>102</v>
      </c>
      <c r="X102" t="str">
        <f t="shared" ca="1" si="7"/>
        <v>C1</v>
      </c>
      <c r="Y102">
        <f t="shared" ca="1" si="8"/>
        <v>0</v>
      </c>
    </row>
    <row r="103" spans="1:25" x14ac:dyDescent="0.25">
      <c r="A103" t="s">
        <v>102</v>
      </c>
      <c r="B103" s="4">
        <v>-0.46850000000000003</v>
      </c>
      <c r="C103" s="4">
        <v>2.3420000000000001</v>
      </c>
      <c r="D103" s="4">
        <v>1.4742500000000001</v>
      </c>
      <c r="E103" s="4">
        <v>-2.2854999999999999</v>
      </c>
      <c r="F103" s="4">
        <v>-1.4803333329999999</v>
      </c>
      <c r="G103" s="4">
        <v>-1.708</v>
      </c>
      <c r="H103" s="4">
        <v>-0.59183333299999996</v>
      </c>
      <c r="Q103" s="2"/>
      <c r="R103">
        <f t="shared" ca="1" si="5"/>
        <v>2.629780749710581</v>
      </c>
      <c r="S103">
        <f t="shared" ca="1" si="5"/>
        <v>2.2046854725723581</v>
      </c>
      <c r="T103">
        <f t="shared" ca="1" si="5"/>
        <v>4.1551415078477101</v>
      </c>
      <c r="U103">
        <f t="shared" ca="1" si="5"/>
        <v>1.4939843391982923</v>
      </c>
      <c r="V103" t="str">
        <f t="shared" ca="1" si="6"/>
        <v>C4</v>
      </c>
      <c r="W103">
        <v>103</v>
      </c>
      <c r="X103" t="str">
        <f t="shared" ca="1" si="7"/>
        <v>C4</v>
      </c>
      <c r="Y103">
        <f t="shared" ca="1" si="8"/>
        <v>0</v>
      </c>
    </row>
    <row r="104" spans="1:25" x14ac:dyDescent="0.25">
      <c r="A104" t="s">
        <v>103</v>
      </c>
      <c r="B104" s="4">
        <v>-0.65233333299999996</v>
      </c>
      <c r="C104" s="4">
        <v>2.355</v>
      </c>
      <c r="D104" s="4">
        <v>0.76100000000000001</v>
      </c>
      <c r="E104" s="4">
        <v>-1.3487499999999999</v>
      </c>
      <c r="F104" s="4">
        <v>0.91400000000000003</v>
      </c>
      <c r="G104" s="4">
        <v>-2.8115000000000001</v>
      </c>
      <c r="H104" s="4">
        <v>-0.76100000000000001</v>
      </c>
      <c r="Q104" s="2"/>
      <c r="R104">
        <f t="shared" ca="1" si="5"/>
        <v>1.4608667248818832</v>
      </c>
      <c r="S104">
        <f t="shared" ca="1" si="5"/>
        <v>1.7680923367097714</v>
      </c>
      <c r="T104">
        <f t="shared" ca="1" si="5"/>
        <v>4.130945451683643</v>
      </c>
      <c r="U104">
        <f t="shared" ca="1" si="5"/>
        <v>2.6471185890479076</v>
      </c>
      <c r="V104" t="str">
        <f t="shared" ca="1" si="6"/>
        <v>C1</v>
      </c>
      <c r="W104">
        <v>104</v>
      </c>
      <c r="X104" t="str">
        <f t="shared" ca="1" si="7"/>
        <v>C1</v>
      </c>
      <c r="Y104">
        <f t="shared" ca="1" si="8"/>
        <v>0</v>
      </c>
    </row>
    <row r="105" spans="1:25" x14ac:dyDescent="0.25">
      <c r="A105" t="s">
        <v>104</v>
      </c>
      <c r="B105" s="4">
        <v>-0.39558333299999998</v>
      </c>
      <c r="C105" s="4">
        <v>0.75949999999999995</v>
      </c>
      <c r="D105" s="4">
        <v>1.1051249999999999</v>
      </c>
      <c r="E105" s="4">
        <v>-1.49725</v>
      </c>
      <c r="F105" s="4">
        <v>-0.869166667</v>
      </c>
      <c r="G105" s="4">
        <v>-2.4529999999999998</v>
      </c>
      <c r="H105" s="4">
        <v>-0.33950000000000002</v>
      </c>
      <c r="Q105" s="2"/>
      <c r="R105">
        <f t="shared" ca="1" si="5"/>
        <v>1.9576614301508639</v>
      </c>
      <c r="S105">
        <f t="shared" ca="1" si="5"/>
        <v>0.99806058773116346</v>
      </c>
      <c r="T105">
        <f t="shared" ca="1" si="5"/>
        <v>2.6830939519575985</v>
      </c>
      <c r="U105">
        <f t="shared" ca="1" si="5"/>
        <v>0.77225732627256605</v>
      </c>
      <c r="V105" t="str">
        <f t="shared" ca="1" si="6"/>
        <v>C4</v>
      </c>
      <c r="W105">
        <v>105</v>
      </c>
      <c r="X105" t="str">
        <f t="shared" ca="1" si="7"/>
        <v>C4</v>
      </c>
      <c r="Y105">
        <f t="shared" ca="1" si="8"/>
        <v>0</v>
      </c>
    </row>
    <row r="106" spans="1:25" x14ac:dyDescent="0.25">
      <c r="A106" t="s">
        <v>105</v>
      </c>
      <c r="B106" s="4">
        <v>-1.0916667E-2</v>
      </c>
      <c r="C106" s="4">
        <v>1.0760000000000001</v>
      </c>
      <c r="D106" s="4">
        <v>1.110125</v>
      </c>
      <c r="E106" s="4">
        <v>-2.1455000000000002</v>
      </c>
      <c r="F106" s="4">
        <v>-0.20499999999999999</v>
      </c>
      <c r="G106" s="4">
        <v>-1.66875</v>
      </c>
      <c r="H106" s="4">
        <v>-0.80816666699999995</v>
      </c>
      <c r="Q106" s="2"/>
      <c r="R106">
        <f t="shared" ca="1" si="5"/>
        <v>2.1759101633570794</v>
      </c>
      <c r="S106">
        <f t="shared" ca="1" si="5"/>
        <v>1.0283811261349651</v>
      </c>
      <c r="T106">
        <f t="shared" ca="1" si="5"/>
        <v>2.8326015555119017</v>
      </c>
      <c r="U106">
        <f t="shared" ca="1" si="5"/>
        <v>1.1639789453414755</v>
      </c>
      <c r="V106" t="str">
        <f t="shared" ca="1" si="6"/>
        <v>C2</v>
      </c>
      <c r="W106">
        <v>106</v>
      </c>
      <c r="X106" t="str">
        <f t="shared" ca="1" si="7"/>
        <v>C2</v>
      </c>
      <c r="Y106">
        <f t="shared" ca="1" si="8"/>
        <v>0</v>
      </c>
    </row>
    <row r="107" spans="1:25" x14ac:dyDescent="0.25">
      <c r="A107" t="s">
        <v>106</v>
      </c>
      <c r="B107" s="4">
        <v>-0.77449999999999997</v>
      </c>
      <c r="C107" s="4">
        <v>1.3045</v>
      </c>
      <c r="D107" s="4">
        <v>0.80174999999999996</v>
      </c>
      <c r="E107" s="4">
        <v>-0.66125</v>
      </c>
      <c r="F107" s="4">
        <v>0.48583333299999998</v>
      </c>
      <c r="G107" s="4">
        <v>-3.0165000000000002</v>
      </c>
      <c r="H107" s="4">
        <v>-0.87150000000000005</v>
      </c>
      <c r="Q107" s="2"/>
      <c r="R107">
        <f t="shared" ca="1" si="5"/>
        <v>1.0920099534655709</v>
      </c>
      <c r="S107">
        <f t="shared" ca="1" si="5"/>
        <v>1.4708331875021263</v>
      </c>
      <c r="T107">
        <f t="shared" ca="1" si="5"/>
        <v>3.5245085708481168</v>
      </c>
      <c r="U107">
        <f t="shared" ca="1" si="5"/>
        <v>2.3652666474900301</v>
      </c>
      <c r="V107" t="str">
        <f t="shared" ca="1" si="6"/>
        <v>C1</v>
      </c>
      <c r="W107">
        <v>107</v>
      </c>
      <c r="X107" t="str">
        <f t="shared" ca="1" si="7"/>
        <v>C1</v>
      </c>
      <c r="Y107">
        <f t="shared" ca="1" si="8"/>
        <v>0</v>
      </c>
    </row>
    <row r="108" spans="1:25" x14ac:dyDescent="0.25">
      <c r="A108" t="s">
        <v>107</v>
      </c>
      <c r="B108" s="4">
        <v>-0.601583333</v>
      </c>
      <c r="C108" s="4">
        <v>2.14</v>
      </c>
      <c r="D108" s="4">
        <v>0.56612499999999999</v>
      </c>
      <c r="E108" s="4">
        <v>-1.4555</v>
      </c>
      <c r="F108" s="4">
        <v>-0.12816666700000001</v>
      </c>
      <c r="G108" s="4">
        <v>-2.3082500000000001</v>
      </c>
      <c r="H108" s="4">
        <v>-1.159</v>
      </c>
      <c r="Q108" s="2"/>
      <c r="R108">
        <f t="shared" ca="1" si="5"/>
        <v>1.1388517507234324</v>
      </c>
      <c r="S108">
        <f t="shared" ca="1" si="5"/>
        <v>1.3147548864813556</v>
      </c>
      <c r="T108">
        <f t="shared" ca="1" si="5"/>
        <v>3.9474308716974953</v>
      </c>
      <c r="U108">
        <f t="shared" ca="1" si="5"/>
        <v>1.806935534108016</v>
      </c>
      <c r="V108" t="str">
        <f t="shared" ca="1" si="6"/>
        <v>C1</v>
      </c>
      <c r="W108">
        <v>108</v>
      </c>
      <c r="X108" t="str">
        <f t="shared" ca="1" si="7"/>
        <v>C1</v>
      </c>
      <c r="Y108">
        <f t="shared" ca="1" si="8"/>
        <v>0</v>
      </c>
    </row>
    <row r="109" spans="1:25" x14ac:dyDescent="0.25">
      <c r="A109" t="s">
        <v>108</v>
      </c>
      <c r="B109" s="4">
        <v>-1.1523333330000001</v>
      </c>
      <c r="C109" s="4">
        <v>1.2015</v>
      </c>
      <c r="D109" s="4">
        <v>1.3396250000000001</v>
      </c>
      <c r="E109" s="4">
        <v>-2.1087500000000001</v>
      </c>
      <c r="F109" s="4">
        <v>-0.40400000000000003</v>
      </c>
      <c r="G109" s="4">
        <v>-1.5029999999999999</v>
      </c>
      <c r="H109" s="4">
        <v>-0.84050000000000002</v>
      </c>
      <c r="Q109" s="2"/>
      <c r="R109">
        <f t="shared" ca="1" si="5"/>
        <v>2.2635206761292097</v>
      </c>
      <c r="S109">
        <f t="shared" ca="1" si="5"/>
        <v>1.5455409572679573</v>
      </c>
      <c r="T109">
        <f t="shared" ca="1" si="5"/>
        <v>3.3847011204196122</v>
      </c>
      <c r="U109">
        <f t="shared" ca="1" si="5"/>
        <v>1.1725924938951862</v>
      </c>
      <c r="V109" t="str">
        <f t="shared" ca="1" si="6"/>
        <v>C4</v>
      </c>
      <c r="W109">
        <v>109</v>
      </c>
      <c r="X109" t="str">
        <f t="shared" ca="1" si="7"/>
        <v>C4</v>
      </c>
      <c r="Y109">
        <f t="shared" ca="1" si="8"/>
        <v>0</v>
      </c>
    </row>
    <row r="110" spans="1:25" x14ac:dyDescent="0.25">
      <c r="A110" t="s">
        <v>109</v>
      </c>
      <c r="B110" s="4">
        <v>-0.27</v>
      </c>
      <c r="C110" s="4">
        <v>0.77024999999999999</v>
      </c>
      <c r="D110" s="4">
        <v>0.67887500000000001</v>
      </c>
      <c r="E110" s="4">
        <v>-1.4345000000000001</v>
      </c>
      <c r="F110" s="4">
        <v>0.41633333300000003</v>
      </c>
      <c r="G110" s="4">
        <v>-2.7582499999999999</v>
      </c>
      <c r="H110" s="4">
        <v>-0.38250000000000001</v>
      </c>
      <c r="Q110" s="2"/>
      <c r="R110">
        <f t="shared" ca="1" si="5"/>
        <v>1.7768510541641134</v>
      </c>
      <c r="S110">
        <f t="shared" ca="1" si="5"/>
        <v>0.85791909410748379</v>
      </c>
      <c r="T110">
        <f t="shared" ca="1" si="5"/>
        <v>2.6865923301379078</v>
      </c>
      <c r="U110">
        <f t="shared" ca="1" si="5"/>
        <v>1.8581577905818398</v>
      </c>
      <c r="V110" t="str">
        <f t="shared" ca="1" si="6"/>
        <v>C2</v>
      </c>
      <c r="W110">
        <v>110</v>
      </c>
      <c r="X110" t="str">
        <f t="shared" ca="1" si="7"/>
        <v>C2</v>
      </c>
      <c r="Y110">
        <f t="shared" ca="1" si="8"/>
        <v>0</v>
      </c>
    </row>
    <row r="111" spans="1:25" x14ac:dyDescent="0.25">
      <c r="A111" t="s">
        <v>110</v>
      </c>
      <c r="B111" s="4">
        <v>-1.04375</v>
      </c>
      <c r="C111" s="4">
        <v>8.8499999999999995E-2</v>
      </c>
      <c r="D111" s="4">
        <v>0.57974999999999999</v>
      </c>
      <c r="E111" s="4">
        <v>-2.02725</v>
      </c>
      <c r="F111" s="4">
        <v>-1.1603333330000001</v>
      </c>
      <c r="G111" s="4">
        <v>-2.3497499999999998</v>
      </c>
      <c r="H111" s="4">
        <v>-0.737166667</v>
      </c>
      <c r="Q111" s="2"/>
      <c r="R111">
        <f t="shared" ca="1" si="5"/>
        <v>2.7996922411606961</v>
      </c>
      <c r="S111">
        <f t="shared" ca="1" si="5"/>
        <v>1.8792539735366118</v>
      </c>
      <c r="T111">
        <f t="shared" ca="1" si="5"/>
        <v>3.185120495457415</v>
      </c>
      <c r="U111">
        <f t="shared" ca="1" si="5"/>
        <v>1.2350499640802459</v>
      </c>
      <c r="V111" t="str">
        <f t="shared" ca="1" si="6"/>
        <v>C4</v>
      </c>
      <c r="W111">
        <v>111</v>
      </c>
      <c r="X111" t="str">
        <f t="shared" ca="1" si="7"/>
        <v>C4</v>
      </c>
      <c r="Y111">
        <f t="shared" ca="1" si="8"/>
        <v>0</v>
      </c>
    </row>
    <row r="112" spans="1:25" x14ac:dyDescent="0.25">
      <c r="A112" t="s">
        <v>111</v>
      </c>
      <c r="B112" s="4">
        <v>8.9499999999999996E-2</v>
      </c>
      <c r="C112" s="4">
        <v>1.3294999999999999</v>
      </c>
      <c r="D112" s="4">
        <v>1.127875</v>
      </c>
      <c r="E112" s="4">
        <v>-1.5277499999999999</v>
      </c>
      <c r="F112" s="4">
        <v>1.329</v>
      </c>
      <c r="G112" s="4">
        <v>-1.91025</v>
      </c>
      <c r="H112" s="4">
        <v>-0.40733333300000002</v>
      </c>
      <c r="Q112" s="2"/>
      <c r="R112">
        <f t="shared" ca="1" si="5"/>
        <v>2.0968855699378519</v>
      </c>
      <c r="S112">
        <f t="shared" ca="1" si="5"/>
        <v>1.5115574224974122</v>
      </c>
      <c r="T112">
        <f t="shared" ca="1" si="5"/>
        <v>2.8828784828479734</v>
      </c>
      <c r="U112">
        <f t="shared" ca="1" si="5"/>
        <v>2.585404837683789</v>
      </c>
      <c r="V112" t="str">
        <f t="shared" ca="1" si="6"/>
        <v>C2</v>
      </c>
      <c r="W112">
        <v>112</v>
      </c>
      <c r="X112" t="str">
        <f t="shared" ca="1" si="7"/>
        <v>C2</v>
      </c>
      <c r="Y112">
        <f t="shared" ca="1" si="8"/>
        <v>0</v>
      </c>
    </row>
    <row r="113" spans="1:25" x14ac:dyDescent="0.25">
      <c r="A113" t="s">
        <v>112</v>
      </c>
      <c r="B113" s="4">
        <v>-0.20683333300000001</v>
      </c>
      <c r="C113" s="4">
        <v>1.0669999999999999</v>
      </c>
      <c r="D113" s="4">
        <v>0.24387500000000001</v>
      </c>
      <c r="E113" s="4">
        <v>0.43874999999999997</v>
      </c>
      <c r="F113" s="4">
        <v>-0.24183333300000001</v>
      </c>
      <c r="G113" s="4">
        <v>-2.2362500000000001</v>
      </c>
      <c r="H113" s="4">
        <v>-1.0860000000000001</v>
      </c>
      <c r="Q113" s="2"/>
      <c r="R113">
        <f t="shared" ca="1" si="5"/>
        <v>1.4163541595039983</v>
      </c>
      <c r="S113">
        <f t="shared" ca="1" si="5"/>
        <v>2.082568628008536</v>
      </c>
      <c r="T113">
        <f t="shared" ca="1" si="5"/>
        <v>3.4289635886257068</v>
      </c>
      <c r="U113">
        <f t="shared" ca="1" si="5"/>
        <v>2.8283573453141408</v>
      </c>
      <c r="V113" t="str">
        <f t="shared" ca="1" si="6"/>
        <v>C1</v>
      </c>
      <c r="W113">
        <v>113</v>
      </c>
      <c r="X113" t="str">
        <f t="shared" ca="1" si="7"/>
        <v>C1</v>
      </c>
      <c r="Y113">
        <f t="shared" ca="1" si="8"/>
        <v>0</v>
      </c>
    </row>
    <row r="114" spans="1:25" x14ac:dyDescent="0.25">
      <c r="A114" t="s">
        <v>113</v>
      </c>
      <c r="B114" s="4">
        <v>0.57374999999999998</v>
      </c>
      <c r="C114" s="4">
        <v>0.9425</v>
      </c>
      <c r="D114" s="4">
        <v>0.20799999999999999</v>
      </c>
      <c r="E114" s="4">
        <v>-1.1285000000000001</v>
      </c>
      <c r="F114" s="4">
        <v>0.55433333299999998</v>
      </c>
      <c r="G114" s="4">
        <v>-2.25</v>
      </c>
      <c r="H114" s="4">
        <v>-0.53649999999999998</v>
      </c>
      <c r="Q114" s="2"/>
      <c r="R114">
        <f t="shared" ca="1" si="5"/>
        <v>1.8929119225674289</v>
      </c>
      <c r="S114">
        <f t="shared" ca="1" si="5"/>
        <v>1.2284545992521141</v>
      </c>
      <c r="T114">
        <f t="shared" ca="1" si="5"/>
        <v>2.6155652230537729</v>
      </c>
      <c r="U114">
        <f t="shared" ca="1" si="5"/>
        <v>2.3743594984134053</v>
      </c>
      <c r="V114" t="str">
        <f t="shared" ca="1" si="6"/>
        <v>C2</v>
      </c>
      <c r="W114">
        <v>114</v>
      </c>
      <c r="X114" t="str">
        <f t="shared" ca="1" si="7"/>
        <v>C2</v>
      </c>
      <c r="Y114">
        <f t="shared" ca="1" si="8"/>
        <v>0</v>
      </c>
    </row>
    <row r="115" spans="1:25" x14ac:dyDescent="0.25">
      <c r="A115" t="s">
        <v>114</v>
      </c>
      <c r="B115" s="4">
        <v>-1.158916667</v>
      </c>
      <c r="C115" s="4">
        <v>0.629</v>
      </c>
      <c r="D115" s="4">
        <v>0.15325</v>
      </c>
      <c r="E115" s="4">
        <v>-0.42725000000000002</v>
      </c>
      <c r="F115" s="4">
        <v>-0.76133333299999995</v>
      </c>
      <c r="G115" s="4">
        <v>-2.0705</v>
      </c>
      <c r="H115" s="4">
        <v>-0.50816666700000002</v>
      </c>
      <c r="Q115" s="2"/>
      <c r="R115">
        <f t="shared" ca="1" si="5"/>
        <v>1.8576177065193369</v>
      </c>
      <c r="S115">
        <f t="shared" ca="1" si="5"/>
        <v>1.7748292479489007</v>
      </c>
      <c r="T115">
        <f t="shared" ca="1" si="5"/>
        <v>3.1341349765192876</v>
      </c>
      <c r="U115">
        <f t="shared" ca="1" si="5"/>
        <v>2.025151282487148</v>
      </c>
      <c r="V115" t="str">
        <f t="shared" ca="1" si="6"/>
        <v>C2</v>
      </c>
      <c r="W115">
        <v>115</v>
      </c>
      <c r="X115" t="str">
        <f t="shared" ca="1" si="7"/>
        <v>C2</v>
      </c>
      <c r="Y115">
        <f t="shared" ca="1" si="8"/>
        <v>0</v>
      </c>
    </row>
    <row r="116" spans="1:25" x14ac:dyDescent="0.25">
      <c r="A116" t="s">
        <v>115</v>
      </c>
      <c r="B116" s="4">
        <v>-2.6833333000000001E-2</v>
      </c>
      <c r="C116" s="4">
        <v>1.3779999999999999</v>
      </c>
      <c r="D116" s="4">
        <v>0.46750000000000003</v>
      </c>
      <c r="E116" s="4">
        <v>-1.23875</v>
      </c>
      <c r="F116" s="4">
        <v>-0.569333333</v>
      </c>
      <c r="G116" s="4">
        <v>-2.0597500000000002</v>
      </c>
      <c r="H116" s="4">
        <v>-0.62416666700000001</v>
      </c>
      <c r="Q116" s="2"/>
      <c r="R116">
        <f t="shared" ca="1" si="5"/>
        <v>1.3835166015485552</v>
      </c>
      <c r="S116">
        <f t="shared" ca="1" si="5"/>
        <v>0.72771498072610052</v>
      </c>
      <c r="T116">
        <f t="shared" ca="1" si="5"/>
        <v>2.9601341819248668</v>
      </c>
      <c r="U116">
        <f t="shared" ca="1" si="5"/>
        <v>1.3082896435693701</v>
      </c>
      <c r="V116" t="str">
        <f t="shared" ca="1" si="6"/>
        <v>C2</v>
      </c>
      <c r="W116">
        <v>116</v>
      </c>
      <c r="X116" t="str">
        <f t="shared" ca="1" si="7"/>
        <v>C2</v>
      </c>
      <c r="Y116">
        <f t="shared" ca="1" si="8"/>
        <v>0</v>
      </c>
    </row>
    <row r="117" spans="1:25" x14ac:dyDescent="0.25">
      <c r="A117" t="s">
        <v>116</v>
      </c>
      <c r="B117" s="4">
        <v>-0.65125</v>
      </c>
      <c r="C117" s="4">
        <v>0.52900000000000003</v>
      </c>
      <c r="D117" s="4">
        <v>0.71625000000000005</v>
      </c>
      <c r="E117" s="4">
        <v>-1.2842499999999999</v>
      </c>
      <c r="F117" s="4">
        <v>-0.58416666699999997</v>
      </c>
      <c r="G117" s="4">
        <v>-2.1105</v>
      </c>
      <c r="H117" s="4">
        <v>-0.84799999999999998</v>
      </c>
      <c r="Q117" s="2"/>
      <c r="R117">
        <f t="shared" ca="1" si="5"/>
        <v>1.8051319818790394</v>
      </c>
      <c r="S117">
        <f t="shared" ca="1" si="5"/>
        <v>1.03510677044794</v>
      </c>
      <c r="T117">
        <f t="shared" ca="1" si="5"/>
        <v>2.7574976769120467</v>
      </c>
      <c r="U117">
        <f t="shared" ca="1" si="5"/>
        <v>1.1521208335619104</v>
      </c>
      <c r="V117" t="str">
        <f t="shared" ca="1" si="6"/>
        <v>C2</v>
      </c>
      <c r="W117">
        <v>117</v>
      </c>
      <c r="X117" t="str">
        <f t="shared" ca="1" si="7"/>
        <v>C2</v>
      </c>
      <c r="Y117">
        <f t="shared" ca="1" si="8"/>
        <v>0</v>
      </c>
    </row>
    <row r="118" spans="1:25" x14ac:dyDescent="0.25">
      <c r="A118" t="s">
        <v>1</v>
      </c>
      <c r="B118" s="4">
        <v>-0.59199999999999997</v>
      </c>
      <c r="C118" s="4">
        <v>1.4377500000000001</v>
      </c>
      <c r="D118" s="4">
        <v>0.76900000000000002</v>
      </c>
      <c r="E118" s="4">
        <v>-2.39825</v>
      </c>
      <c r="F118" s="4">
        <v>-1.185333333</v>
      </c>
      <c r="G118" s="4">
        <v>-2.05375</v>
      </c>
      <c r="H118" s="4">
        <v>-0.56283333300000005</v>
      </c>
      <c r="Q118" s="2"/>
      <c r="R118">
        <f t="shared" ca="1" si="5"/>
        <v>2.4325407414912421</v>
      </c>
      <c r="S118">
        <f t="shared" ca="1" si="5"/>
        <v>1.5493512303398655</v>
      </c>
      <c r="T118">
        <f t="shared" ca="1" si="5"/>
        <v>3.5566250083977011</v>
      </c>
      <c r="U118">
        <f t="shared" ca="1" si="5"/>
        <v>0.66221092083161437</v>
      </c>
      <c r="V118" t="str">
        <f t="shared" ca="1" si="6"/>
        <v>C4</v>
      </c>
      <c r="W118">
        <v>118</v>
      </c>
      <c r="X118" t="str">
        <f t="shared" ca="1" si="7"/>
        <v>C4</v>
      </c>
      <c r="Y118">
        <f t="shared" ca="1" si="8"/>
        <v>0</v>
      </c>
    </row>
    <row r="119" spans="1:25" x14ac:dyDescent="0.25">
      <c r="A119" t="s">
        <v>117</v>
      </c>
      <c r="B119" s="4">
        <v>-0.61158333300000001</v>
      </c>
      <c r="C119" s="4">
        <v>0.81874999999999998</v>
      </c>
      <c r="D119" s="4">
        <v>0.59112500000000001</v>
      </c>
      <c r="E119" s="4">
        <v>-2.3239999999999998</v>
      </c>
      <c r="F119" s="4">
        <v>-0.69766666700000002</v>
      </c>
      <c r="G119" s="4">
        <v>-2.6092499999999998</v>
      </c>
      <c r="H119" s="4">
        <v>-0.62283333299999999</v>
      </c>
      <c r="Q119" s="2"/>
      <c r="R119">
        <f t="shared" ca="1" si="5"/>
        <v>2.3826499222153443</v>
      </c>
      <c r="S119">
        <f t="shared" ca="1" si="5"/>
        <v>1.3002724936675762</v>
      </c>
      <c r="T119">
        <f t="shared" ca="1" si="5"/>
        <v>3.2521013859463408</v>
      </c>
      <c r="U119">
        <f t="shared" ca="1" si="5"/>
        <v>0.9267940001702355</v>
      </c>
      <c r="V119" t="str">
        <f t="shared" ca="1" si="6"/>
        <v>C4</v>
      </c>
      <c r="W119">
        <v>119</v>
      </c>
      <c r="X119" t="str">
        <f t="shared" ca="1" si="7"/>
        <v>C4</v>
      </c>
      <c r="Y119">
        <f t="shared" ca="1" si="8"/>
        <v>0</v>
      </c>
    </row>
    <row r="120" spans="1:25" x14ac:dyDescent="0.25">
      <c r="A120" t="s">
        <v>118</v>
      </c>
      <c r="B120" s="4">
        <v>0.20524999999999999</v>
      </c>
      <c r="C120" s="4">
        <v>1.2457499999999999</v>
      </c>
      <c r="D120" s="4">
        <v>0.46024999999999999</v>
      </c>
      <c r="E120" s="4">
        <v>-0.71025000000000005</v>
      </c>
      <c r="F120" s="4">
        <v>1.054</v>
      </c>
      <c r="G120" s="4">
        <v>-2.1847500000000002</v>
      </c>
      <c r="H120" s="4">
        <v>-0.29733333299999998</v>
      </c>
      <c r="Q120" s="2"/>
      <c r="R120">
        <f t="shared" ca="1" si="5"/>
        <v>1.6705353788452215</v>
      </c>
      <c r="S120">
        <f t="shared" ca="1" si="5"/>
        <v>1.4590511918269025</v>
      </c>
      <c r="T120">
        <f t="shared" ca="1" si="5"/>
        <v>2.7887300982099963</v>
      </c>
      <c r="U120">
        <f t="shared" ca="1" si="5"/>
        <v>2.7308046403815336</v>
      </c>
      <c r="V120" t="str">
        <f t="shared" ca="1" si="6"/>
        <v>C2</v>
      </c>
      <c r="W120">
        <v>120</v>
      </c>
      <c r="X120" t="str">
        <f t="shared" ca="1" si="7"/>
        <v>C2</v>
      </c>
      <c r="Y120">
        <f t="shared" ca="1" si="8"/>
        <v>0</v>
      </c>
    </row>
    <row r="121" spans="1:25" x14ac:dyDescent="0.25">
      <c r="A121" t="s">
        <v>119</v>
      </c>
      <c r="B121" s="4">
        <v>-1.2764166669999999</v>
      </c>
      <c r="C121" s="4">
        <v>1.5882499999999999</v>
      </c>
      <c r="D121" s="4">
        <v>1.039625</v>
      </c>
      <c r="E121" s="4">
        <v>-2.4362499999999998</v>
      </c>
      <c r="F121" s="4">
        <v>-0.640833333</v>
      </c>
      <c r="G121" s="4">
        <v>-1.6519999999999999</v>
      </c>
      <c r="H121" s="4">
        <v>-1.347</v>
      </c>
      <c r="Q121" s="2"/>
      <c r="R121">
        <f t="shared" ca="1" si="5"/>
        <v>2.4578999682181362</v>
      </c>
      <c r="S121">
        <f t="shared" ca="1" si="5"/>
        <v>1.9568954583894411</v>
      </c>
      <c r="T121">
        <f t="shared" ca="1" si="5"/>
        <v>4.0937909450139793</v>
      </c>
      <c r="U121">
        <f t="shared" ca="1" si="5"/>
        <v>1.4484525192531041</v>
      </c>
      <c r="V121" t="str">
        <f t="shared" ca="1" si="6"/>
        <v>C4</v>
      </c>
      <c r="W121">
        <v>121</v>
      </c>
      <c r="X121" t="str">
        <f t="shared" ca="1" si="7"/>
        <v>C4</v>
      </c>
      <c r="Y121">
        <f t="shared" ca="1" si="8"/>
        <v>0</v>
      </c>
    </row>
    <row r="122" spans="1:25" x14ac:dyDescent="0.25">
      <c r="A122" t="s">
        <v>120</v>
      </c>
      <c r="B122" s="4">
        <v>-0.39250000000000002</v>
      </c>
      <c r="C122" s="4">
        <v>1.58375</v>
      </c>
      <c r="D122" s="4">
        <v>0.67337499999999995</v>
      </c>
      <c r="E122" s="4">
        <v>-1.7437499999999999</v>
      </c>
      <c r="F122" s="4">
        <v>-0.63449999999999995</v>
      </c>
      <c r="G122" s="4">
        <v>-1.965666667</v>
      </c>
      <c r="H122" s="4">
        <v>-0.69199999999999995</v>
      </c>
      <c r="Q122" s="2"/>
      <c r="R122">
        <f t="shared" ca="1" si="5"/>
        <v>1.6166429631706061</v>
      </c>
      <c r="S122">
        <f t="shared" ca="1" si="5"/>
        <v>0.86743619198586164</v>
      </c>
      <c r="T122">
        <f t="shared" ca="1" si="5"/>
        <v>3.2723409437761148</v>
      </c>
      <c r="U122">
        <f t="shared" ca="1" si="5"/>
        <v>0.9278903731244581</v>
      </c>
      <c r="V122" t="str">
        <f t="shared" ca="1" si="6"/>
        <v>C2</v>
      </c>
      <c r="W122">
        <v>122</v>
      </c>
      <c r="X122" t="str">
        <f t="shared" ca="1" si="7"/>
        <v>C2</v>
      </c>
      <c r="Y122">
        <f t="shared" ca="1" si="8"/>
        <v>0</v>
      </c>
    </row>
    <row r="123" spans="1:25" x14ac:dyDescent="0.25">
      <c r="A123" t="s">
        <v>121</v>
      </c>
      <c r="B123" s="4">
        <v>-0.24825</v>
      </c>
      <c r="C123" s="4">
        <v>1.16875</v>
      </c>
      <c r="D123" s="4">
        <v>0.77400000000000002</v>
      </c>
      <c r="E123" s="4">
        <v>-1.1615</v>
      </c>
      <c r="F123" s="4">
        <v>-0.252</v>
      </c>
      <c r="G123" s="4">
        <v>-2.20425</v>
      </c>
      <c r="H123" s="4">
        <v>-0.193333333</v>
      </c>
      <c r="Q123" s="2"/>
      <c r="R123">
        <f t="shared" ca="1" si="5"/>
        <v>1.3796303677475372</v>
      </c>
      <c r="S123">
        <f t="shared" ca="1" si="5"/>
        <v>0.41521860755464629</v>
      </c>
      <c r="T123">
        <f t="shared" ca="1" si="5"/>
        <v>2.5843238758536695</v>
      </c>
      <c r="U123">
        <f t="shared" ca="1" si="5"/>
        <v>1.3438334962064584</v>
      </c>
      <c r="V123" t="str">
        <f t="shared" ca="1" si="6"/>
        <v>C2</v>
      </c>
      <c r="W123">
        <v>123</v>
      </c>
      <c r="X123" t="str">
        <f t="shared" ca="1" si="7"/>
        <v>C2</v>
      </c>
      <c r="Y123">
        <f t="shared" ca="1" si="8"/>
        <v>0</v>
      </c>
    </row>
    <row r="124" spans="1:25" x14ac:dyDescent="0.25">
      <c r="A124" t="s">
        <v>122</v>
      </c>
      <c r="B124" s="4">
        <v>-0.71441666699999995</v>
      </c>
      <c r="C124" s="4">
        <v>1.38775</v>
      </c>
      <c r="D124" s="4">
        <v>0.72950000000000004</v>
      </c>
      <c r="E124" s="4">
        <v>-0.10150000000000001</v>
      </c>
      <c r="F124" s="4">
        <v>-0.40033333300000001</v>
      </c>
      <c r="G124" s="4">
        <v>-2.05375</v>
      </c>
      <c r="H124" s="4">
        <v>-1.0095000000000001</v>
      </c>
      <c r="Q124" s="2"/>
      <c r="R124">
        <f t="shared" ca="1" si="5"/>
        <v>0.85372236379661137</v>
      </c>
      <c r="S124">
        <f t="shared" ca="1" si="5"/>
        <v>1.6113978840958045</v>
      </c>
      <c r="T124">
        <f t="shared" ca="1" si="5"/>
        <v>3.4258099945359559</v>
      </c>
      <c r="U124">
        <f t="shared" ca="1" si="5"/>
        <v>2.1725429170331889</v>
      </c>
      <c r="V124" t="str">
        <f t="shared" ca="1" si="6"/>
        <v>C1</v>
      </c>
      <c r="W124">
        <v>124</v>
      </c>
      <c r="X124" t="str">
        <f t="shared" ca="1" si="7"/>
        <v>C1</v>
      </c>
      <c r="Y124">
        <f t="shared" ca="1" si="8"/>
        <v>0</v>
      </c>
    </row>
    <row r="125" spans="1:25" x14ac:dyDescent="0.25">
      <c r="A125" t="s">
        <v>123</v>
      </c>
      <c r="B125" s="4">
        <v>-0.78341666700000001</v>
      </c>
      <c r="C125" s="4">
        <v>1.516</v>
      </c>
      <c r="D125" s="4">
        <v>0.84712500000000002</v>
      </c>
      <c r="E125" s="4">
        <v>-1.2230000000000001</v>
      </c>
      <c r="F125" s="4">
        <v>-0.100166667</v>
      </c>
      <c r="G125" s="4">
        <v>-2.0332499999999998</v>
      </c>
      <c r="H125" s="4">
        <v>-0.47883333300000003</v>
      </c>
      <c r="Q125" s="2"/>
      <c r="R125">
        <f t="shared" ca="1" si="5"/>
        <v>1.130982679360317</v>
      </c>
      <c r="S125">
        <f t="shared" ca="1" si="5"/>
        <v>0.74251222448571508</v>
      </c>
      <c r="T125">
        <f t="shared" ca="1" si="5"/>
        <v>3.1127724270726356</v>
      </c>
      <c r="U125">
        <f t="shared" ca="1" si="5"/>
        <v>1.4170572380159117</v>
      </c>
      <c r="V125" t="str">
        <f t="shared" ca="1" si="6"/>
        <v>C2</v>
      </c>
      <c r="W125">
        <v>125</v>
      </c>
      <c r="X125" t="str">
        <f t="shared" ca="1" si="7"/>
        <v>C2</v>
      </c>
      <c r="Y125">
        <f t="shared" ca="1" si="8"/>
        <v>0</v>
      </c>
    </row>
    <row r="126" spans="1:25" x14ac:dyDescent="0.25">
      <c r="A126" t="s">
        <v>124</v>
      </c>
      <c r="B126" s="4">
        <v>3.9666667000000003E-2</v>
      </c>
      <c r="C126" s="4">
        <v>0.37724999999999997</v>
      </c>
      <c r="D126" s="4">
        <v>0.551875</v>
      </c>
      <c r="E126" s="4">
        <v>-1.25725</v>
      </c>
      <c r="F126" s="4">
        <v>-0.59650000000000003</v>
      </c>
      <c r="G126" s="4">
        <v>-2.1970000000000001</v>
      </c>
      <c r="H126" s="4">
        <v>0.21933333299999999</v>
      </c>
      <c r="Q126" s="2"/>
      <c r="R126">
        <f t="shared" ca="1" si="5"/>
        <v>2.3016187894547344</v>
      </c>
      <c r="S126">
        <f t="shared" ca="1" si="5"/>
        <v>1.2064271804229465</v>
      </c>
      <c r="T126">
        <f t="shared" ca="1" si="5"/>
        <v>1.9428835641571238</v>
      </c>
      <c r="U126">
        <f t="shared" ca="1" si="5"/>
        <v>1.5732744226844515</v>
      </c>
      <c r="V126" t="str">
        <f t="shared" ca="1" si="6"/>
        <v>C2</v>
      </c>
      <c r="W126">
        <v>126</v>
      </c>
      <c r="X126" t="str">
        <f t="shared" ca="1" si="7"/>
        <v>C2</v>
      </c>
      <c r="Y126">
        <f t="shared" ca="1" si="8"/>
        <v>0</v>
      </c>
    </row>
    <row r="127" spans="1:25" x14ac:dyDescent="0.25">
      <c r="A127" t="s">
        <v>125</v>
      </c>
      <c r="B127" s="4">
        <v>-0.29883333299999998</v>
      </c>
      <c r="C127" s="4">
        <v>2.7112500000000002</v>
      </c>
      <c r="D127" s="4">
        <v>0.854375</v>
      </c>
      <c r="E127" s="4">
        <v>-0.93774999999999997</v>
      </c>
      <c r="F127" s="4">
        <v>-0.20016666699999999</v>
      </c>
      <c r="G127" s="4">
        <v>-2.0647500000000001</v>
      </c>
      <c r="H127" s="4">
        <v>-1.212166667</v>
      </c>
      <c r="Q127" s="2"/>
      <c r="R127">
        <f t="shared" ca="1" si="5"/>
        <v>1.0682372197950161</v>
      </c>
      <c r="S127">
        <f t="shared" ca="1" si="5"/>
        <v>1.8248764357090657</v>
      </c>
      <c r="T127">
        <f t="shared" ca="1" si="5"/>
        <v>4.2319823494802709</v>
      </c>
      <c r="U127">
        <f t="shared" ca="1" si="5"/>
        <v>2.3308821354117111</v>
      </c>
      <c r="V127" t="str">
        <f t="shared" ca="1" si="6"/>
        <v>C1</v>
      </c>
      <c r="W127">
        <v>127</v>
      </c>
      <c r="X127" t="str">
        <f t="shared" ca="1" si="7"/>
        <v>C1</v>
      </c>
      <c r="Y127">
        <f t="shared" ca="1" si="8"/>
        <v>0</v>
      </c>
    </row>
    <row r="128" spans="1:25" x14ac:dyDescent="0.25">
      <c r="A128" t="s">
        <v>126</v>
      </c>
      <c r="B128" s="4">
        <v>-0.52741666700000001</v>
      </c>
      <c r="C128" s="4">
        <v>0.96850000000000003</v>
      </c>
      <c r="D128" s="4">
        <v>1.2346250000000001</v>
      </c>
      <c r="E128" s="4">
        <v>-2.5972499999999998</v>
      </c>
      <c r="F128" s="4">
        <v>-0.264833333</v>
      </c>
      <c r="G128" s="4">
        <v>-2.1777500000000001</v>
      </c>
      <c r="H128" s="4">
        <v>-0.21816666700000001</v>
      </c>
      <c r="Q128" s="2"/>
      <c r="R128">
        <f t="shared" ca="1" si="5"/>
        <v>2.5685870439899059</v>
      </c>
      <c r="S128">
        <f t="shared" ca="1" si="5"/>
        <v>1.3165189434833808</v>
      </c>
      <c r="T128">
        <f t="shared" ca="1" si="5"/>
        <v>2.971410724020588</v>
      </c>
      <c r="U128">
        <f t="shared" ca="1" si="5"/>
        <v>1.0725245419867759</v>
      </c>
      <c r="V128" t="str">
        <f t="shared" ca="1" si="6"/>
        <v>C4</v>
      </c>
      <c r="W128">
        <v>128</v>
      </c>
      <c r="X128" t="str">
        <f t="shared" ca="1" si="7"/>
        <v>C4</v>
      </c>
      <c r="Y128">
        <f t="shared" ca="1" si="8"/>
        <v>0</v>
      </c>
    </row>
    <row r="129" spans="1:25" x14ac:dyDescent="0.25">
      <c r="A129" t="s">
        <v>127</v>
      </c>
      <c r="B129" s="4">
        <v>-4.4249999999999998E-2</v>
      </c>
      <c r="C129" s="4">
        <v>0.47875000000000001</v>
      </c>
      <c r="D129" s="4">
        <v>-0.106</v>
      </c>
      <c r="E129" s="4">
        <v>-1.4007499999999999</v>
      </c>
      <c r="F129" s="4">
        <v>0.264833333</v>
      </c>
      <c r="G129" s="4">
        <v>-2.4027500000000002</v>
      </c>
      <c r="H129" s="4">
        <v>-0.29933333299999998</v>
      </c>
      <c r="Q129" s="2"/>
      <c r="R129">
        <f t="shared" ca="1" si="5"/>
        <v>2.1689879572348505</v>
      </c>
      <c r="S129">
        <f t="shared" ca="1" si="5"/>
        <v>1.2187721990683809</v>
      </c>
      <c r="T129">
        <f t="shared" ca="1" si="5"/>
        <v>2.5246173965072414</v>
      </c>
      <c r="U129">
        <f t="shared" ca="1" si="5"/>
        <v>2.1043132966196931</v>
      </c>
      <c r="V129" t="str">
        <f t="shared" ca="1" si="6"/>
        <v>C2</v>
      </c>
      <c r="W129">
        <v>129</v>
      </c>
      <c r="X129" t="str">
        <f t="shared" ca="1" si="7"/>
        <v>C2</v>
      </c>
      <c r="Y129">
        <f t="shared" ca="1" si="8"/>
        <v>0</v>
      </c>
    </row>
    <row r="130" spans="1:25" x14ac:dyDescent="0.25">
      <c r="A130" t="s">
        <v>128</v>
      </c>
      <c r="B130" s="4">
        <v>-0.25141666699999998</v>
      </c>
      <c r="C130" s="4">
        <v>1.9810000000000001</v>
      </c>
      <c r="D130" s="4">
        <v>1.1436249999999999</v>
      </c>
      <c r="E130" s="4">
        <v>-2.012</v>
      </c>
      <c r="F130" s="4">
        <v>-0.60899999999999999</v>
      </c>
      <c r="G130" s="4">
        <v>-2.7280000000000002</v>
      </c>
      <c r="H130" s="4">
        <v>-0.40566666699999998</v>
      </c>
      <c r="Q130" s="2"/>
      <c r="R130">
        <f t="shared" ca="1" si="5"/>
        <v>1.8823001345929748</v>
      </c>
      <c r="S130">
        <f t="shared" ca="1" si="5"/>
        <v>1.2988708368445616</v>
      </c>
      <c r="T130">
        <f t="shared" ca="1" si="5"/>
        <v>3.6425582713771982</v>
      </c>
      <c r="U130">
        <f t="shared" ref="U130:U193" ca="1" si="9">SQRT(SUMXMY2($B130:$H130,O$2:O$8))</f>
        <v>1.2967295515161417</v>
      </c>
      <c r="V130" t="str">
        <f t="shared" ca="1" si="6"/>
        <v>C4</v>
      </c>
      <c r="W130">
        <v>130</v>
      </c>
      <c r="X130" t="str">
        <f t="shared" ca="1" si="7"/>
        <v>C4</v>
      </c>
      <c r="Y130">
        <f t="shared" ca="1" si="8"/>
        <v>0</v>
      </c>
    </row>
    <row r="131" spans="1:25" x14ac:dyDescent="0.25">
      <c r="A131" t="s">
        <v>129</v>
      </c>
      <c r="B131" s="4">
        <v>-0.57108333300000003</v>
      </c>
      <c r="C131" s="4">
        <v>1.82725</v>
      </c>
      <c r="D131" s="4">
        <v>0.75824999999999998</v>
      </c>
      <c r="E131" s="4">
        <v>-0.27250000000000002</v>
      </c>
      <c r="F131" s="4">
        <v>-0.76733333299999995</v>
      </c>
      <c r="G131" s="4">
        <v>-1.9105000000000001</v>
      </c>
      <c r="H131" s="4">
        <v>-0.80800000000000005</v>
      </c>
      <c r="Q131" s="2"/>
      <c r="R131">
        <f t="shared" ref="R131:T156" ca="1" si="10">SQRT(SUMXMY2($B131:$H131,L$2:L$8))</f>
        <v>0.92986185868326221</v>
      </c>
      <c r="S131">
        <f t="shared" ca="1" si="10"/>
        <v>1.6338715706064018</v>
      </c>
      <c r="T131">
        <f t="shared" ca="1" si="10"/>
        <v>3.572246790305492</v>
      </c>
      <c r="U131">
        <f t="shared" ca="1" si="9"/>
        <v>2.0122857871851756</v>
      </c>
      <c r="V131" t="str">
        <f t="shared" ref="V131:V156" ca="1" si="11">INDEX($R$1:$U$1, 1, MATCH(MIN(R131:U131), R131:U131,0))</f>
        <v>C1</v>
      </c>
      <c r="W131">
        <v>131</v>
      </c>
      <c r="X131" t="str">
        <f t="shared" ref="X131:X156" ca="1" si="12">INDIRECT($J$1  &amp; "!V" &amp; W131)</f>
        <v>C1</v>
      </c>
      <c r="Y131">
        <f t="shared" ref="Y131:Y156" ca="1" si="13">IF(V131=X131, 0, 1)</f>
        <v>0</v>
      </c>
    </row>
    <row r="132" spans="1:25" x14ac:dyDescent="0.25">
      <c r="A132" t="s">
        <v>130</v>
      </c>
      <c r="B132" s="4">
        <v>-0.64966666699999998</v>
      </c>
      <c r="C132" s="4">
        <v>1.7949999999999999</v>
      </c>
      <c r="D132" s="4">
        <v>0.84150000000000003</v>
      </c>
      <c r="E132" s="4">
        <v>0.18024999999999999</v>
      </c>
      <c r="F132" s="4">
        <v>0.28766666699999999</v>
      </c>
      <c r="G132" s="4">
        <v>-1.8815</v>
      </c>
      <c r="H132" s="4">
        <v>-0.82899999999999996</v>
      </c>
      <c r="Q132" s="2"/>
      <c r="R132">
        <f t="shared" ca="1" si="10"/>
        <v>0.85237773026351049</v>
      </c>
      <c r="S132">
        <f t="shared" ca="1" si="10"/>
        <v>1.9111497569839331</v>
      </c>
      <c r="T132">
        <f t="shared" ca="1" si="10"/>
        <v>3.5922072244925465</v>
      </c>
      <c r="U132">
        <f t="shared" ca="1" si="9"/>
        <v>2.7540156327241059</v>
      </c>
      <c r="V132" t="str">
        <f t="shared" ca="1" si="11"/>
        <v>C1</v>
      </c>
      <c r="W132">
        <v>132</v>
      </c>
      <c r="X132" t="str">
        <f t="shared" ca="1" si="12"/>
        <v>C1</v>
      </c>
      <c r="Y132">
        <f t="shared" ca="1" si="13"/>
        <v>0</v>
      </c>
    </row>
    <row r="133" spans="1:25" x14ac:dyDescent="0.25">
      <c r="A133" t="s">
        <v>131</v>
      </c>
      <c r="B133" s="4">
        <v>-0.56458333299999997</v>
      </c>
      <c r="C133" s="4">
        <v>1.3345</v>
      </c>
      <c r="D133" s="4">
        <v>0.94525000000000003</v>
      </c>
      <c r="E133" s="4">
        <v>-1.681</v>
      </c>
      <c r="F133" s="4">
        <v>0.16200000000000001</v>
      </c>
      <c r="G133" s="4">
        <v>-2.0922499999999999</v>
      </c>
      <c r="H133" s="4">
        <v>-0.441</v>
      </c>
      <c r="Q133" s="2"/>
      <c r="R133">
        <f t="shared" ca="1" si="10"/>
        <v>1.5481895776532821</v>
      </c>
      <c r="S133">
        <f t="shared" ca="1" si="10"/>
        <v>0.55474193710657371</v>
      </c>
      <c r="T133">
        <f t="shared" ca="1" si="10"/>
        <v>2.9309968285267347</v>
      </c>
      <c r="U133">
        <f t="shared" ca="1" si="9"/>
        <v>1.3560603508818623</v>
      </c>
      <c r="V133" t="str">
        <f t="shared" ca="1" si="11"/>
        <v>C2</v>
      </c>
      <c r="W133">
        <v>133</v>
      </c>
      <c r="X133" t="str">
        <f t="shared" ca="1" si="12"/>
        <v>C2</v>
      </c>
      <c r="Y133">
        <f t="shared" ca="1" si="13"/>
        <v>0</v>
      </c>
    </row>
    <row r="134" spans="1:25" x14ac:dyDescent="0.25">
      <c r="A134" t="s">
        <v>132</v>
      </c>
      <c r="B134" s="4">
        <v>0.154</v>
      </c>
      <c r="C134" s="4">
        <v>2.3467500000000001</v>
      </c>
      <c r="D134" s="4">
        <v>1.521625</v>
      </c>
      <c r="E134" s="4">
        <v>-1.0002500000000001</v>
      </c>
      <c r="F134" s="4">
        <v>-0.77233333299999996</v>
      </c>
      <c r="G134" s="4">
        <v>-2.6579999999999999</v>
      </c>
      <c r="H134" s="4">
        <v>-0.89366666699999997</v>
      </c>
      <c r="Q134" s="2"/>
      <c r="R134">
        <f t="shared" ca="1" si="10"/>
        <v>1.4627661638110185</v>
      </c>
      <c r="S134">
        <f t="shared" ca="1" si="10"/>
        <v>1.7820037031404656</v>
      </c>
      <c r="T134">
        <f t="shared" ca="1" si="10"/>
        <v>3.9279622051910565</v>
      </c>
      <c r="U134">
        <f t="shared" ca="1" si="9"/>
        <v>2.0093850792180792</v>
      </c>
      <c r="V134" t="str">
        <f t="shared" ca="1" si="11"/>
        <v>C1</v>
      </c>
      <c r="W134">
        <v>134</v>
      </c>
      <c r="X134" t="str">
        <f t="shared" ca="1" si="12"/>
        <v>C1</v>
      </c>
      <c r="Y134">
        <f t="shared" ca="1" si="13"/>
        <v>0</v>
      </c>
    </row>
    <row r="135" spans="1:25" x14ac:dyDescent="0.25">
      <c r="A135" t="s">
        <v>133</v>
      </c>
      <c r="B135" s="4">
        <v>-0.25758333300000003</v>
      </c>
      <c r="C135" s="4">
        <v>1.0867500000000001</v>
      </c>
      <c r="D135" s="4">
        <v>0.94750000000000001</v>
      </c>
      <c r="E135" s="4">
        <v>-1.60425</v>
      </c>
      <c r="F135" s="4">
        <v>-0.15416666700000001</v>
      </c>
      <c r="G135" s="4">
        <v>-2.6292499999999999</v>
      </c>
      <c r="H135" s="4">
        <v>-0.85350000000000004</v>
      </c>
      <c r="Q135" s="2"/>
      <c r="R135">
        <f t="shared" ca="1" si="10"/>
        <v>1.5411548701208535</v>
      </c>
      <c r="S135">
        <f t="shared" ca="1" si="10"/>
        <v>0.65603609140103769</v>
      </c>
      <c r="T135">
        <f t="shared" ca="1" si="10"/>
        <v>3.0349301290327007</v>
      </c>
      <c r="U135">
        <f t="shared" ca="1" si="9"/>
        <v>1.2634845809806199</v>
      </c>
      <c r="V135" t="str">
        <f t="shared" ca="1" si="11"/>
        <v>C2</v>
      </c>
      <c r="W135">
        <v>135</v>
      </c>
      <c r="X135" t="str">
        <f t="shared" ca="1" si="12"/>
        <v>C2</v>
      </c>
      <c r="Y135">
        <f t="shared" ca="1" si="13"/>
        <v>0</v>
      </c>
    </row>
    <row r="136" spans="1:25" x14ac:dyDescent="0.25">
      <c r="A136" t="s">
        <v>134</v>
      </c>
      <c r="B136" s="4">
        <v>-0.62941666699999999</v>
      </c>
      <c r="C136" s="4">
        <v>1.46275</v>
      </c>
      <c r="D136" s="4">
        <v>1.2482500000000001</v>
      </c>
      <c r="E136" s="4">
        <v>-1.6515</v>
      </c>
      <c r="F136" s="4">
        <v>-0.35299999999999998</v>
      </c>
      <c r="G136" s="4">
        <v>-1.578333333</v>
      </c>
      <c r="H136" s="4">
        <v>-0.47633333300000003</v>
      </c>
      <c r="Q136" s="2"/>
      <c r="R136">
        <f t="shared" ca="1" si="10"/>
        <v>1.730295387180657</v>
      </c>
      <c r="S136">
        <f t="shared" ca="1" si="10"/>
        <v>0.98802677929058269</v>
      </c>
      <c r="T136">
        <f t="shared" ca="1" si="10"/>
        <v>3.0010316918383899</v>
      </c>
      <c r="U136">
        <f t="shared" ca="1" si="9"/>
        <v>1.0796712704121383</v>
      </c>
      <c r="V136" t="str">
        <f t="shared" ca="1" si="11"/>
        <v>C2</v>
      </c>
      <c r="W136">
        <v>136</v>
      </c>
      <c r="X136" t="str">
        <f t="shared" ca="1" si="12"/>
        <v>C2</v>
      </c>
      <c r="Y136">
        <f t="shared" ca="1" si="13"/>
        <v>0</v>
      </c>
    </row>
    <row r="137" spans="1:25" x14ac:dyDescent="0.25">
      <c r="A137" t="s">
        <v>135</v>
      </c>
      <c r="B137" s="4">
        <v>-0.66941666700000002</v>
      </c>
      <c r="C137" s="4">
        <v>1.7190000000000001</v>
      </c>
      <c r="D137" s="4">
        <v>1.181875</v>
      </c>
      <c r="E137" s="4">
        <v>-1.7665</v>
      </c>
      <c r="F137" s="4">
        <v>-1.0253333330000001</v>
      </c>
      <c r="G137" s="4">
        <v>-2.1353333330000002</v>
      </c>
      <c r="H137" s="4">
        <v>-0.74866666699999995</v>
      </c>
      <c r="Q137" s="2"/>
      <c r="R137">
        <f t="shared" ca="1" si="10"/>
        <v>1.7973514639770536</v>
      </c>
      <c r="S137">
        <f t="shared" ca="1" si="10"/>
        <v>1.3368475184527184</v>
      </c>
      <c r="T137">
        <f t="shared" ca="1" si="10"/>
        <v>3.5893561472238926</v>
      </c>
      <c r="U137">
        <f t="shared" ca="1" si="9"/>
        <v>0.79278828207453589</v>
      </c>
      <c r="V137" t="str">
        <f t="shared" ca="1" si="11"/>
        <v>C4</v>
      </c>
      <c r="W137">
        <v>137</v>
      </c>
      <c r="X137" t="str">
        <f t="shared" ca="1" si="12"/>
        <v>C4</v>
      </c>
      <c r="Y137">
        <f t="shared" ca="1" si="13"/>
        <v>0</v>
      </c>
    </row>
    <row r="138" spans="1:25" x14ac:dyDescent="0.25">
      <c r="A138" t="s">
        <v>136</v>
      </c>
      <c r="B138" s="4">
        <v>-0.491666667</v>
      </c>
      <c r="C138" s="4">
        <v>1.44675</v>
      </c>
      <c r="D138" s="4">
        <v>0.45774999999999999</v>
      </c>
      <c r="E138" s="4">
        <v>-0.73599999999999999</v>
      </c>
      <c r="F138" s="4">
        <v>0.40699999999999997</v>
      </c>
      <c r="G138" s="4">
        <v>-3.1890000000000001</v>
      </c>
      <c r="H138" s="4">
        <v>-0.75166666699999996</v>
      </c>
      <c r="Q138" s="2"/>
      <c r="R138">
        <f t="shared" ca="1" si="10"/>
        <v>1.1560224191037825</v>
      </c>
      <c r="S138">
        <f t="shared" ca="1" si="10"/>
        <v>1.4576231450929578</v>
      </c>
      <c r="T138">
        <f t="shared" ca="1" si="10"/>
        <v>3.5799308033670769</v>
      </c>
      <c r="U138">
        <f t="shared" ca="1" si="9"/>
        <v>2.4118860945466452</v>
      </c>
      <c r="V138" t="str">
        <f t="shared" ca="1" si="11"/>
        <v>C1</v>
      </c>
      <c r="W138">
        <v>138</v>
      </c>
      <c r="X138" t="str">
        <f t="shared" ca="1" si="12"/>
        <v>C1</v>
      </c>
      <c r="Y138">
        <f t="shared" ca="1" si="13"/>
        <v>0</v>
      </c>
    </row>
    <row r="139" spans="1:25" x14ac:dyDescent="0.25">
      <c r="A139" t="s">
        <v>137</v>
      </c>
      <c r="B139" s="4">
        <v>-0.79783333300000003</v>
      </c>
      <c r="C139" s="4">
        <v>1.7462500000000001</v>
      </c>
      <c r="D139" s="4">
        <v>0.49325000000000002</v>
      </c>
      <c r="E139" s="4">
        <v>-1.5205</v>
      </c>
      <c r="F139" s="4">
        <v>-0.16116666700000001</v>
      </c>
      <c r="G139" s="4">
        <v>-1.5827500000000001</v>
      </c>
      <c r="H139" s="4">
        <v>-0.66966666699999999</v>
      </c>
      <c r="Q139" s="2"/>
      <c r="R139">
        <f t="shared" ca="1" si="10"/>
        <v>1.49039013772717</v>
      </c>
      <c r="S139">
        <f t="shared" ca="1" si="10"/>
        <v>1.113570855308138</v>
      </c>
      <c r="T139">
        <f t="shared" ca="1" si="10"/>
        <v>3.4086455837525196</v>
      </c>
      <c r="U139">
        <f t="shared" ca="1" si="9"/>
        <v>1.5367377465179424</v>
      </c>
      <c r="V139" t="str">
        <f t="shared" ca="1" si="11"/>
        <v>C2</v>
      </c>
      <c r="W139">
        <v>139</v>
      </c>
      <c r="X139" t="str">
        <f t="shared" ca="1" si="12"/>
        <v>C2</v>
      </c>
      <c r="Y139">
        <f t="shared" ca="1" si="13"/>
        <v>0</v>
      </c>
    </row>
    <row r="140" spans="1:25" x14ac:dyDescent="0.25">
      <c r="A140" t="s">
        <v>138</v>
      </c>
      <c r="B140" s="4">
        <v>-2.9333333E-2</v>
      </c>
      <c r="C140" s="4">
        <v>1.6679999999999999</v>
      </c>
      <c r="D140" s="4">
        <v>0.87549999999999994</v>
      </c>
      <c r="E140" s="4">
        <v>-2.012</v>
      </c>
      <c r="F140" s="4">
        <v>-0.43733333299999999</v>
      </c>
      <c r="G140" s="4">
        <v>-2.3275000000000001</v>
      </c>
      <c r="H140" s="4">
        <v>-0.35016666699999999</v>
      </c>
      <c r="Q140" s="2"/>
      <c r="R140">
        <f t="shared" ca="1" si="10"/>
        <v>1.8579693221729832</v>
      </c>
      <c r="S140">
        <f t="shared" ca="1" si="10"/>
        <v>0.8758077876082857</v>
      </c>
      <c r="T140">
        <f t="shared" ca="1" si="10"/>
        <v>3.1834215869092799</v>
      </c>
      <c r="U140">
        <f t="shared" ca="1" si="9"/>
        <v>1.12578534485711</v>
      </c>
      <c r="V140" t="str">
        <f t="shared" ca="1" si="11"/>
        <v>C2</v>
      </c>
      <c r="W140">
        <v>140</v>
      </c>
      <c r="X140" t="str">
        <f t="shared" ca="1" si="12"/>
        <v>C2</v>
      </c>
      <c r="Y140">
        <f t="shared" ca="1" si="13"/>
        <v>0</v>
      </c>
    </row>
    <row r="141" spans="1:25" x14ac:dyDescent="0.25">
      <c r="A141" t="s">
        <v>139</v>
      </c>
      <c r="B141" s="4">
        <v>0.19500000000000001</v>
      </c>
      <c r="C141" s="4">
        <v>1.456</v>
      </c>
      <c r="D141" s="4">
        <v>1.152625</v>
      </c>
      <c r="E141" s="4">
        <v>-1.7985</v>
      </c>
      <c r="F141" s="4">
        <v>0.224333333</v>
      </c>
      <c r="G141" s="4">
        <v>-2.3264999999999998</v>
      </c>
      <c r="H141" s="4">
        <v>-0.60683333299999997</v>
      </c>
      <c r="Q141" s="2"/>
      <c r="R141">
        <f t="shared" ca="1" si="10"/>
        <v>1.7277336050588472</v>
      </c>
      <c r="S141">
        <f t="shared" ca="1" si="10"/>
        <v>0.79476545583414926</v>
      </c>
      <c r="T141">
        <f t="shared" ca="1" si="10"/>
        <v>2.9622447170779966</v>
      </c>
      <c r="U141">
        <f t="shared" ca="1" si="9"/>
        <v>1.6160420182671933</v>
      </c>
      <c r="V141" t="str">
        <f t="shared" ca="1" si="11"/>
        <v>C2</v>
      </c>
      <c r="W141">
        <v>141</v>
      </c>
      <c r="X141" t="str">
        <f t="shared" ca="1" si="12"/>
        <v>C2</v>
      </c>
      <c r="Y141">
        <f t="shared" ca="1" si="13"/>
        <v>0</v>
      </c>
    </row>
    <row r="142" spans="1:25" x14ac:dyDescent="0.25">
      <c r="A142" t="s">
        <v>140</v>
      </c>
      <c r="B142" s="4">
        <v>-0.24916666700000001</v>
      </c>
      <c r="C142" s="4">
        <v>1.2999999999999999E-2</v>
      </c>
      <c r="D142" s="4">
        <v>0.64124999999999999</v>
      </c>
      <c r="E142" s="4">
        <v>-2.294</v>
      </c>
      <c r="F142" s="4">
        <v>-1.8405</v>
      </c>
      <c r="G142" s="4">
        <v>-2.0747499999999999</v>
      </c>
      <c r="H142" s="4">
        <v>-0.09</v>
      </c>
      <c r="Q142" s="2"/>
      <c r="R142">
        <f t="shared" ca="1" si="10"/>
        <v>3.410680464079844</v>
      </c>
      <c r="S142">
        <f t="shared" ca="1" si="10"/>
        <v>2.300234542700955</v>
      </c>
      <c r="T142">
        <f t="shared" ca="1" si="10"/>
        <v>2.9292609708305837</v>
      </c>
      <c r="U142">
        <f t="shared" ca="1" si="9"/>
        <v>1.462316925223091</v>
      </c>
      <c r="V142" t="str">
        <f t="shared" ca="1" si="11"/>
        <v>C4</v>
      </c>
      <c r="W142">
        <v>142</v>
      </c>
      <c r="X142" t="str">
        <f t="shared" ca="1" si="12"/>
        <v>C4</v>
      </c>
      <c r="Y142">
        <f t="shared" ca="1" si="13"/>
        <v>0</v>
      </c>
    </row>
    <row r="143" spans="1:25" x14ac:dyDescent="0.25">
      <c r="A143" t="s">
        <v>141</v>
      </c>
      <c r="B143" s="4">
        <v>-0.198583333</v>
      </c>
      <c r="C143" s="4">
        <v>1.1465000000000001</v>
      </c>
      <c r="D143" s="4">
        <v>0.91412499999999997</v>
      </c>
      <c r="E143" s="4">
        <v>-1.698</v>
      </c>
      <c r="F143" s="4">
        <v>0.33983333300000002</v>
      </c>
      <c r="G143" s="4">
        <v>-1.8354999999999999</v>
      </c>
      <c r="H143" s="4">
        <v>-0.264833333</v>
      </c>
      <c r="Q143" s="2"/>
      <c r="R143">
        <f t="shared" ca="1" si="10"/>
        <v>1.8188432408766608</v>
      </c>
      <c r="S143">
        <f t="shared" ca="1" si="10"/>
        <v>0.63589595645234887</v>
      </c>
      <c r="T143">
        <f t="shared" ca="1" si="10"/>
        <v>2.5379890757385288</v>
      </c>
      <c r="U143">
        <f t="shared" ca="1" si="9"/>
        <v>1.5738562908339773</v>
      </c>
      <c r="V143" t="str">
        <f t="shared" ca="1" si="11"/>
        <v>C2</v>
      </c>
      <c r="W143">
        <v>143</v>
      </c>
      <c r="X143" t="str">
        <f t="shared" ca="1" si="12"/>
        <v>C2</v>
      </c>
      <c r="Y143">
        <f t="shared" ca="1" si="13"/>
        <v>0</v>
      </c>
    </row>
    <row r="144" spans="1:25" x14ac:dyDescent="0.25">
      <c r="A144" t="s">
        <v>142</v>
      </c>
      <c r="B144" s="4">
        <v>-0.29958333300000001</v>
      </c>
      <c r="C144" s="4">
        <v>2.2164999999999999</v>
      </c>
      <c r="D144" s="4">
        <v>0.71675</v>
      </c>
      <c r="E144" s="4">
        <v>0.22425</v>
      </c>
      <c r="F144" s="4">
        <v>-0.638833333</v>
      </c>
      <c r="G144" s="4">
        <v>-2.4350000000000001</v>
      </c>
      <c r="H144" s="4">
        <v>-1.417333333</v>
      </c>
      <c r="Q144" s="2"/>
      <c r="R144">
        <f t="shared" ca="1" si="10"/>
        <v>1.0777534139741385</v>
      </c>
      <c r="S144">
        <f t="shared" ca="1" si="10"/>
        <v>2.2987470785750617</v>
      </c>
      <c r="T144">
        <f t="shared" ca="1" si="10"/>
        <v>4.285302765920461</v>
      </c>
      <c r="U144">
        <f t="shared" ca="1" si="9"/>
        <v>2.7970073384383487</v>
      </c>
      <c r="V144" t="str">
        <f t="shared" ca="1" si="11"/>
        <v>C1</v>
      </c>
      <c r="W144">
        <v>144</v>
      </c>
      <c r="X144" t="str">
        <f t="shared" ca="1" si="12"/>
        <v>C1</v>
      </c>
      <c r="Y144">
        <f t="shared" ca="1" si="13"/>
        <v>0</v>
      </c>
    </row>
    <row r="145" spans="1:25" x14ac:dyDescent="0.25">
      <c r="A145" t="s">
        <v>143</v>
      </c>
      <c r="B145" s="4">
        <v>-0.26274999999999998</v>
      </c>
      <c r="C145" s="4">
        <v>2.7542499999999999</v>
      </c>
      <c r="D145" s="4">
        <v>0.81812499999999999</v>
      </c>
      <c r="E145" s="4">
        <v>-0.37824999999999998</v>
      </c>
      <c r="F145" s="4">
        <v>1.286333333</v>
      </c>
      <c r="G145" s="4">
        <v>-1.8116666669999999</v>
      </c>
      <c r="H145" s="4">
        <v>-0.88366666699999996</v>
      </c>
      <c r="Q145" s="2"/>
      <c r="R145">
        <f t="shared" ca="1" si="10"/>
        <v>1.6431196288905585</v>
      </c>
      <c r="S145">
        <f t="shared" ca="1" si="10"/>
        <v>2.4308467875145592</v>
      </c>
      <c r="T145">
        <f t="shared" ca="1" si="10"/>
        <v>4.2820777319504408</v>
      </c>
      <c r="U145">
        <f t="shared" ca="1" si="9"/>
        <v>3.4286664767236461</v>
      </c>
      <c r="V145" t="str">
        <f t="shared" ca="1" si="11"/>
        <v>C1</v>
      </c>
      <c r="W145">
        <v>145</v>
      </c>
      <c r="X145" t="str">
        <f t="shared" ca="1" si="12"/>
        <v>C1</v>
      </c>
      <c r="Y145">
        <f t="shared" ca="1" si="13"/>
        <v>0</v>
      </c>
    </row>
    <row r="146" spans="1:25" x14ac:dyDescent="0.25">
      <c r="A146" t="s">
        <v>144</v>
      </c>
      <c r="B146" s="4">
        <v>-0.36983333299999999</v>
      </c>
      <c r="C146" s="4">
        <v>1.7130000000000001</v>
      </c>
      <c r="D146" s="4">
        <v>1.4808749999999999</v>
      </c>
      <c r="E146" s="4">
        <v>-0.44724999999999998</v>
      </c>
      <c r="F146" s="4">
        <v>3.0000000000000001E-3</v>
      </c>
      <c r="G146" s="4">
        <v>-1.94475</v>
      </c>
      <c r="H146" s="4">
        <v>-8.8666667000000005E-2</v>
      </c>
      <c r="Q146" s="2"/>
      <c r="R146">
        <f t="shared" ca="1" si="10"/>
        <v>1.1947088819539646</v>
      </c>
      <c r="S146">
        <f t="shared" ca="1" si="10"/>
        <v>1.4103018104562275</v>
      </c>
      <c r="T146">
        <f t="shared" ca="1" si="10"/>
        <v>2.9607641260557869</v>
      </c>
      <c r="U146">
        <f t="shared" ca="1" si="9"/>
        <v>2.1326151899188699</v>
      </c>
      <c r="V146" t="str">
        <f t="shared" ca="1" si="11"/>
        <v>C1</v>
      </c>
      <c r="W146">
        <v>146</v>
      </c>
      <c r="X146" t="str">
        <f t="shared" ca="1" si="12"/>
        <v>C1</v>
      </c>
      <c r="Y146">
        <f t="shared" ca="1" si="13"/>
        <v>0</v>
      </c>
    </row>
    <row r="147" spans="1:25" x14ac:dyDescent="0.25">
      <c r="A147" t="s">
        <v>145</v>
      </c>
      <c r="B147" s="4">
        <v>-0.618166667</v>
      </c>
      <c r="C147" s="4">
        <v>1.7722500000000001</v>
      </c>
      <c r="D147" s="4">
        <v>1.147</v>
      </c>
      <c r="E147" s="4">
        <v>-2.0257499999999999</v>
      </c>
      <c r="F147" s="4">
        <v>-0.193</v>
      </c>
      <c r="G147" s="4">
        <v>-2.0317500000000002</v>
      </c>
      <c r="H147" s="4">
        <v>-0.26800000000000002</v>
      </c>
      <c r="Q147" s="2"/>
      <c r="R147">
        <f t="shared" ca="1" si="10"/>
        <v>1.8443972969330391</v>
      </c>
      <c r="S147">
        <f t="shared" ca="1" si="10"/>
        <v>1.0359655010598778</v>
      </c>
      <c r="T147">
        <f t="shared" ca="1" si="10"/>
        <v>3.2933540117950173</v>
      </c>
      <c r="U147">
        <f t="shared" ca="1" si="9"/>
        <v>1.206449311280563</v>
      </c>
      <c r="V147" t="str">
        <f t="shared" ca="1" si="11"/>
        <v>C2</v>
      </c>
      <c r="W147">
        <v>147</v>
      </c>
      <c r="X147" t="str">
        <f t="shared" ca="1" si="12"/>
        <v>C2</v>
      </c>
      <c r="Y147">
        <f t="shared" ca="1" si="13"/>
        <v>0</v>
      </c>
    </row>
    <row r="148" spans="1:25" x14ac:dyDescent="0.25">
      <c r="A148" t="s">
        <v>146</v>
      </c>
      <c r="B148" s="4">
        <v>-0.84275</v>
      </c>
      <c r="C148" s="4">
        <v>1.014</v>
      </c>
      <c r="D148" s="4">
        <v>1.35375</v>
      </c>
      <c r="E148" s="4">
        <v>-1.69425</v>
      </c>
      <c r="F148" s="4">
        <v>-0.60666666700000005</v>
      </c>
      <c r="G148" s="4">
        <v>-2.5804999999999998</v>
      </c>
      <c r="H148" s="4">
        <v>-1.569166667</v>
      </c>
      <c r="Q148" s="2"/>
      <c r="R148">
        <f t="shared" ca="1" si="10"/>
        <v>1.943013163973073</v>
      </c>
      <c r="S148">
        <f t="shared" ca="1" si="10"/>
        <v>1.5906669252238912</v>
      </c>
      <c r="T148">
        <f t="shared" ca="1" si="10"/>
        <v>3.6967963714111227</v>
      </c>
      <c r="U148">
        <f t="shared" ca="1" si="9"/>
        <v>1.3592065825548163</v>
      </c>
      <c r="V148" t="str">
        <f t="shared" ca="1" si="11"/>
        <v>C4</v>
      </c>
      <c r="W148">
        <v>148</v>
      </c>
      <c r="X148" t="str">
        <f t="shared" ca="1" si="12"/>
        <v>C4</v>
      </c>
      <c r="Y148">
        <f t="shared" ca="1" si="13"/>
        <v>0</v>
      </c>
    </row>
    <row r="149" spans="1:25" x14ac:dyDescent="0.25">
      <c r="A149" t="s">
        <v>147</v>
      </c>
      <c r="B149" s="4">
        <v>-0.33608333299999998</v>
      </c>
      <c r="C149" s="4">
        <v>0.92500000000000004</v>
      </c>
      <c r="D149" s="4">
        <v>0.74587499999999995</v>
      </c>
      <c r="E149" s="4">
        <v>-1.4007499999999999</v>
      </c>
      <c r="F149" s="4">
        <v>0.179666667</v>
      </c>
      <c r="G149" s="4">
        <v>-1.986</v>
      </c>
      <c r="H149" s="4">
        <v>-0.34483333300000002</v>
      </c>
      <c r="Q149" s="2"/>
      <c r="R149">
        <f t="shared" ca="1" si="10"/>
        <v>1.6212687674966066</v>
      </c>
      <c r="S149">
        <f t="shared" ca="1" si="10"/>
        <v>0.44044626620413924</v>
      </c>
      <c r="T149">
        <f t="shared" ca="1" si="10"/>
        <v>2.4526305521134968</v>
      </c>
      <c r="U149">
        <f t="shared" ca="1" si="9"/>
        <v>1.4997008894545272</v>
      </c>
      <c r="V149" t="str">
        <f t="shared" ca="1" si="11"/>
        <v>C2</v>
      </c>
      <c r="W149">
        <v>149</v>
      </c>
      <c r="X149" t="str">
        <f t="shared" ca="1" si="12"/>
        <v>C2</v>
      </c>
      <c r="Y149">
        <f t="shared" ca="1" si="13"/>
        <v>0</v>
      </c>
    </row>
    <row r="150" spans="1:25" x14ac:dyDescent="0.25">
      <c r="A150" t="s">
        <v>148</v>
      </c>
      <c r="B150" s="4">
        <v>-0.259833333</v>
      </c>
      <c r="C150" s="4">
        <v>1.88625</v>
      </c>
      <c r="D150" s="4">
        <v>0.21887499999999999</v>
      </c>
      <c r="E150" s="4">
        <v>-1.1240000000000001</v>
      </c>
      <c r="F150" s="4">
        <v>0.45550000000000002</v>
      </c>
      <c r="G150" s="4">
        <v>-2.81725</v>
      </c>
      <c r="H150" s="4">
        <v>-1.0275000000000001</v>
      </c>
      <c r="Q150" s="2"/>
      <c r="R150">
        <f t="shared" ca="1" si="10"/>
        <v>1.1628432741406816</v>
      </c>
      <c r="S150">
        <f t="shared" ca="1" si="10"/>
        <v>1.4170020204115195</v>
      </c>
      <c r="T150">
        <f t="shared" ca="1" si="10"/>
        <v>3.8211616889420918</v>
      </c>
      <c r="U150">
        <f t="shared" ca="1" si="9"/>
        <v>2.3756842468341191</v>
      </c>
      <c r="V150" t="str">
        <f t="shared" ca="1" si="11"/>
        <v>C1</v>
      </c>
      <c r="W150">
        <v>150</v>
      </c>
      <c r="X150" t="str">
        <f t="shared" ca="1" si="12"/>
        <v>C1</v>
      </c>
      <c r="Y150">
        <f t="shared" ca="1" si="13"/>
        <v>0</v>
      </c>
    </row>
    <row r="151" spans="1:25" x14ac:dyDescent="0.25">
      <c r="A151" t="s">
        <v>149</v>
      </c>
      <c r="B151" s="4">
        <v>-0.587916667</v>
      </c>
      <c r="C151" s="4">
        <v>1.6577500000000001</v>
      </c>
      <c r="D151" s="4">
        <v>0.87875000000000003</v>
      </c>
      <c r="E151" s="4">
        <v>0.248</v>
      </c>
      <c r="F151" s="4">
        <v>0.488666667</v>
      </c>
      <c r="G151" s="4">
        <v>-2.1832500000000001</v>
      </c>
      <c r="H151" s="4">
        <v>-1.2386666669999999</v>
      </c>
      <c r="Q151" s="2"/>
      <c r="R151">
        <f t="shared" ca="1" si="10"/>
        <v>0.94452734130841709</v>
      </c>
      <c r="S151">
        <f t="shared" ca="1" si="10"/>
        <v>2.0637930425046216</v>
      </c>
      <c r="T151">
        <f t="shared" ca="1" si="10"/>
        <v>3.7745360405106156</v>
      </c>
      <c r="U151">
        <f t="shared" ca="1" si="9"/>
        <v>2.9423507476763127</v>
      </c>
      <c r="V151" t="str">
        <f t="shared" ca="1" si="11"/>
        <v>C1</v>
      </c>
      <c r="W151">
        <v>151</v>
      </c>
      <c r="X151" t="str">
        <f t="shared" ca="1" si="12"/>
        <v>C1</v>
      </c>
      <c r="Y151">
        <f t="shared" ca="1" si="13"/>
        <v>0</v>
      </c>
    </row>
    <row r="152" spans="1:25" x14ac:dyDescent="0.25">
      <c r="A152" t="s">
        <v>150</v>
      </c>
      <c r="B152" s="4">
        <v>-0.751</v>
      </c>
      <c r="C152" s="4">
        <v>0.88075000000000003</v>
      </c>
      <c r="D152" s="4">
        <v>0.75124999999999997</v>
      </c>
      <c r="E152" s="4">
        <v>-2.0517500000000002</v>
      </c>
      <c r="F152" s="4">
        <v>-0.91349999999999998</v>
      </c>
      <c r="G152" s="4">
        <v>-2.2265000000000001</v>
      </c>
      <c r="H152" s="4">
        <v>-0.28416666699999998</v>
      </c>
      <c r="Q152" s="2"/>
      <c r="R152">
        <f t="shared" ca="1" si="10"/>
        <v>2.2828465532156623</v>
      </c>
      <c r="S152">
        <f t="shared" ca="1" si="10"/>
        <v>1.2122035185700395</v>
      </c>
      <c r="T152">
        <f t="shared" ca="1" si="10"/>
        <v>3.007780908689873</v>
      </c>
      <c r="U152">
        <f t="shared" ca="1" si="9"/>
        <v>0.55140985681353727</v>
      </c>
      <c r="V152" t="str">
        <f t="shared" ca="1" si="11"/>
        <v>C4</v>
      </c>
      <c r="W152">
        <v>152</v>
      </c>
      <c r="X152" t="str">
        <f t="shared" ca="1" si="12"/>
        <v>C4</v>
      </c>
      <c r="Y152">
        <f t="shared" ca="1" si="13"/>
        <v>0</v>
      </c>
    </row>
    <row r="153" spans="1:25" x14ac:dyDescent="0.25">
      <c r="A153" t="s">
        <v>151</v>
      </c>
      <c r="B153" s="4">
        <v>-0.324333333</v>
      </c>
      <c r="C153" s="4">
        <v>1.42075</v>
      </c>
      <c r="D153" s="4">
        <v>0.40887499999999999</v>
      </c>
      <c r="E153" s="4">
        <v>-0.14249999999999999</v>
      </c>
      <c r="F153" s="4">
        <v>0.27316666699999997</v>
      </c>
      <c r="G153" s="4">
        <v>-2.5387499999999998</v>
      </c>
      <c r="H153" s="4">
        <v>-0.38100000000000001</v>
      </c>
      <c r="Q153" s="2"/>
      <c r="R153">
        <f t="shared" ca="1" si="10"/>
        <v>0.97119373866692937</v>
      </c>
      <c r="S153">
        <f t="shared" ca="1" si="10"/>
        <v>1.479279050218004</v>
      </c>
      <c r="T153">
        <f t="shared" ca="1" si="10"/>
        <v>3.170813585279161</v>
      </c>
      <c r="U153">
        <f t="shared" ca="1" si="9"/>
        <v>2.5193201417064648</v>
      </c>
      <c r="V153" t="str">
        <f t="shared" ca="1" si="11"/>
        <v>C1</v>
      </c>
      <c r="W153">
        <v>153</v>
      </c>
      <c r="X153" t="str">
        <f t="shared" ca="1" si="12"/>
        <v>C1</v>
      </c>
      <c r="Y153">
        <f t="shared" ca="1" si="13"/>
        <v>0</v>
      </c>
    </row>
    <row r="154" spans="1:25" x14ac:dyDescent="0.25">
      <c r="A154" t="s">
        <v>152</v>
      </c>
      <c r="B154" s="4">
        <v>-0.80833333299999999</v>
      </c>
      <c r="C154" s="4">
        <v>1.8547499999999999</v>
      </c>
      <c r="D154" s="4">
        <v>1.0418750000000001</v>
      </c>
      <c r="E154" s="4">
        <v>-1.19225</v>
      </c>
      <c r="F154" s="4">
        <v>-1.1599999999999999</v>
      </c>
      <c r="G154" s="4">
        <v>-1.88425</v>
      </c>
      <c r="H154" s="4">
        <v>-1.161166667</v>
      </c>
      <c r="Q154" s="2"/>
      <c r="R154">
        <f t="shared" ca="1" si="10"/>
        <v>1.5581202760690043</v>
      </c>
      <c r="S154">
        <f t="shared" ca="1" si="10"/>
        <v>1.6681800555473811</v>
      </c>
      <c r="T154">
        <f t="shared" ca="1" si="10"/>
        <v>3.8654736857312697</v>
      </c>
      <c r="U154">
        <f t="shared" ca="1" si="9"/>
        <v>1.3784458483249411</v>
      </c>
      <c r="V154" t="str">
        <f t="shared" ca="1" si="11"/>
        <v>C4</v>
      </c>
      <c r="W154">
        <v>154</v>
      </c>
      <c r="X154" t="str">
        <f t="shared" ca="1" si="12"/>
        <v>C4</v>
      </c>
      <c r="Y154">
        <f t="shared" ca="1" si="13"/>
        <v>0</v>
      </c>
    </row>
    <row r="155" spans="1:25" x14ac:dyDescent="0.25">
      <c r="A155" t="s">
        <v>153</v>
      </c>
      <c r="B155" s="4">
        <v>-0.27074999999999999</v>
      </c>
      <c r="C155" s="4">
        <v>0.63375000000000004</v>
      </c>
      <c r="D155" s="4">
        <v>0.22850000000000001</v>
      </c>
      <c r="E155" s="4">
        <v>-0.11600000000000001</v>
      </c>
      <c r="F155" s="4">
        <v>-0.91749999999999998</v>
      </c>
      <c r="G155" s="4">
        <v>-2.3903333330000001</v>
      </c>
      <c r="H155" s="4">
        <v>-8.3333330000000001E-3</v>
      </c>
      <c r="Q155" s="2"/>
      <c r="R155">
        <f t="shared" ca="1" si="10"/>
        <v>1.9748782758359278</v>
      </c>
      <c r="S155">
        <f t="shared" ca="1" si="10"/>
        <v>1.8177331941096218</v>
      </c>
      <c r="T155">
        <f t="shared" ca="1" si="10"/>
        <v>2.7281000841139833</v>
      </c>
      <c r="U155">
        <f t="shared" ca="1" si="9"/>
        <v>2.2430791999956523</v>
      </c>
      <c r="V155" t="str">
        <f t="shared" ca="1" si="11"/>
        <v>C2</v>
      </c>
      <c r="W155">
        <v>155</v>
      </c>
      <c r="X155" t="str">
        <f t="shared" ca="1" si="12"/>
        <v>C2</v>
      </c>
      <c r="Y155">
        <f t="shared" ca="1" si="13"/>
        <v>0</v>
      </c>
    </row>
    <row r="156" spans="1:25" x14ac:dyDescent="0.25">
      <c r="A156" t="s">
        <v>154</v>
      </c>
      <c r="B156" s="4">
        <v>-0.54149999999999998</v>
      </c>
      <c r="C156" s="4">
        <v>1.2232499999999999</v>
      </c>
      <c r="D156" s="4">
        <v>0.70037499999999997</v>
      </c>
      <c r="E156" s="4">
        <v>-1.7655000000000001</v>
      </c>
      <c r="F156" s="4">
        <v>-1.2123333329999999</v>
      </c>
      <c r="G156" s="4">
        <v>-3.5590000000000002</v>
      </c>
      <c r="H156" s="4">
        <v>0.29316666699999999</v>
      </c>
      <c r="Q156" s="2"/>
      <c r="R156">
        <f t="shared" ca="1" si="10"/>
        <v>2.596823035188295</v>
      </c>
      <c r="S156">
        <f t="shared" ca="1" si="10"/>
        <v>1.9777691140151437</v>
      </c>
      <c r="T156">
        <f t="shared" ca="1" si="10"/>
        <v>3.6163008621277553</v>
      </c>
      <c r="U156">
        <f t="shared" ca="1" si="9"/>
        <v>1.7731061325695727</v>
      </c>
      <c r="V156" t="str">
        <f t="shared" ca="1" si="11"/>
        <v>C4</v>
      </c>
      <c r="W156">
        <v>156</v>
      </c>
      <c r="X156" t="str">
        <f t="shared" ca="1" si="12"/>
        <v>C4</v>
      </c>
      <c r="Y156">
        <f t="shared" ca="1" si="1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k1</vt:lpstr>
      <vt:lpstr>k2</vt:lpstr>
      <vt:lpstr>'k2'!AA</vt:lpstr>
      <vt:lpstr>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Hong</dc:creator>
  <cp:lastModifiedBy>Zhou, Hong</cp:lastModifiedBy>
  <dcterms:created xsi:type="dcterms:W3CDTF">2020-06-26T21:43:24Z</dcterms:created>
  <dcterms:modified xsi:type="dcterms:W3CDTF">2021-08-22T01:36:50Z</dcterms:modified>
</cp:coreProperties>
</file>