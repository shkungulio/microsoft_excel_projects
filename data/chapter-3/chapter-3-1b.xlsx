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ayroll" sheetId="1" r:id="rId1"/>
    <sheet name="Behind-Scene" sheetId="2" r:id="rId2"/>
  </sheets>
  <definedNames>
    <definedName name="FilingStatus">'Behind-Scene'!$A$13:$A$15</definedName>
    <definedName name="HeadofHousehold">'Behind-Scene'!$F$3:$G$10</definedName>
    <definedName name="MarriedFilingJointly">'Behind-Scene'!$B$3:$C$10</definedName>
    <definedName name="numPay">'Behind-Scene'!$E$13:$F$19</definedName>
    <definedName name="Plus_Percentage">'Behind-Scene'!$A$3:$A$10</definedName>
    <definedName name="SingleorMarriedFilingSeparately">'Behind-Scene'!$D$3:$E$10</definedName>
    <definedName name="SSM">'Behind-Scene'!$C$13:$C$17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2" i="1"/>
  <c r="S3" i="1" l="1"/>
  <c r="P3" i="1"/>
  <c r="T3" i="1" s="1"/>
  <c r="N3" i="1"/>
  <c r="J3" i="1"/>
  <c r="K3" i="1"/>
  <c r="L3" i="1"/>
  <c r="I3" i="1"/>
  <c r="E3" i="1"/>
  <c r="S2" i="1"/>
  <c r="P2" i="1"/>
  <c r="T2" i="1" s="1"/>
  <c r="N2" i="1"/>
  <c r="L2" i="1"/>
  <c r="K2" i="1"/>
  <c r="J2" i="1"/>
  <c r="I2" i="1"/>
  <c r="E2" i="1"/>
  <c r="U2" i="1"/>
  <c r="U3" i="1"/>
  <c r="H1" i="1" l="1"/>
  <c r="E4" i="2"/>
  <c r="C4" i="2"/>
  <c r="G4" i="2"/>
  <c r="G5" i="2" s="1"/>
  <c r="G6" i="2" s="1"/>
  <c r="G7" i="2" s="1"/>
  <c r="G8" i="2" s="1"/>
  <c r="G9" i="2" s="1"/>
  <c r="G10" i="2" s="1"/>
  <c r="V3" i="1"/>
  <c r="V2" i="1"/>
  <c r="Y3" i="1" l="1"/>
  <c r="Z3" i="1" s="1"/>
  <c r="Y2" i="1"/>
  <c r="Z2" i="1" s="1"/>
  <c r="E5" i="2"/>
  <c r="E6" i="2" s="1"/>
  <c r="E7" i="2" s="1"/>
  <c r="E8" i="2" s="1"/>
  <c r="E9" i="2" s="1"/>
  <c r="E10" i="2" s="1"/>
  <c r="C5" i="2"/>
  <c r="C6" i="2" s="1"/>
  <c r="C7" i="2" s="1"/>
  <c r="C8" i="2" s="1"/>
  <c r="C9" i="2" s="1"/>
  <c r="C10" i="2" s="1"/>
</calcChain>
</file>

<file path=xl/sharedStrings.xml><?xml version="1.0" encoding="utf-8"?>
<sst xmlns="http://schemas.openxmlformats.org/spreadsheetml/2006/main" count="59" uniqueCount="52">
  <si>
    <t>Semiannually</t>
  </si>
  <si>
    <t>Quarterly</t>
  </si>
  <si>
    <t>Monthly</t>
  </si>
  <si>
    <t>Semimonthly</t>
  </si>
  <si>
    <t>Biweekly</t>
  </si>
  <si>
    <t>Weekly</t>
  </si>
  <si>
    <t>Daily</t>
  </si>
  <si>
    <t>Married Filing Jointly</t>
  </si>
  <si>
    <t>At least</t>
  </si>
  <si>
    <t>Withhold</t>
  </si>
  <si>
    <t>Single or Married Filing Separately</t>
  </si>
  <si>
    <t>Head of Household</t>
  </si>
  <si>
    <t xml:space="preserve">At least </t>
  </si>
  <si>
    <t>Name</t>
  </si>
  <si>
    <t>GrossPay</t>
  </si>
  <si>
    <t>Payroll Period</t>
  </si>
  <si>
    <t>Medical Insurance</t>
  </si>
  <si>
    <t>Dental Insurance</t>
  </si>
  <si>
    <t>EstimatedNumPay</t>
  </si>
  <si>
    <t>SS Tax</t>
  </si>
  <si>
    <t>Medicare Tax</t>
  </si>
  <si>
    <t>Additional Medicare Tax</t>
  </si>
  <si>
    <t>IRA rate</t>
  </si>
  <si>
    <t>IRA Deduction</t>
  </si>
  <si>
    <t>Filing Status</t>
  </si>
  <si>
    <t>W-4 Step 4(b)</t>
  </si>
  <si>
    <t>SSN Rate</t>
  </si>
  <si>
    <t>Medicare Rate</t>
  </si>
  <si>
    <t>Over rate</t>
  </si>
  <si>
    <t>Over limit</t>
  </si>
  <si>
    <t>W-4 Step 4(C)(Additional Withholding)</t>
  </si>
  <si>
    <t>Period Taxable Income</t>
  </si>
  <si>
    <t>W-4 Step 4(a)(other income)</t>
  </si>
  <si>
    <t>Standard Deduction</t>
  </si>
  <si>
    <t>Table Pos</t>
  </si>
  <si>
    <t>W-4 Step 3(dependent duction)</t>
  </si>
  <si>
    <t>Tentative Withholding</t>
  </si>
  <si>
    <t>Final fed withholding</t>
  </si>
  <si>
    <t>Final Period Pay</t>
  </si>
  <si>
    <t>Annualized-SSM-pay</t>
  </si>
  <si>
    <t>Annualized Taxable Income</t>
  </si>
  <si>
    <t>Adjusted Annual Wage Amount</t>
  </si>
  <si>
    <t>Plus_Percentage</t>
  </si>
  <si>
    <t>MarriedFilingJointly</t>
  </si>
  <si>
    <t>SingleOrMarriedFilingSeparately</t>
  </si>
  <si>
    <t>HeadOfHousehold</t>
  </si>
  <si>
    <t>FilingStatus</t>
  </si>
  <si>
    <t>SSM</t>
  </si>
  <si>
    <t>numPay</t>
  </si>
  <si>
    <t>Employee1</t>
  </si>
  <si>
    <t>Employee2</t>
  </si>
  <si>
    <t>SSN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</si>
</sst>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2" applyNumberFormat="1" applyFont="1" applyAlignment="1">
      <alignment horizontal="center"/>
    </xf>
    <xf numFmtId="10" fontId="0" fillId="0" borderId="0" xfId="0" applyNumberForma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0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justify" vertical="center"/>
    </xf>
    <xf numFmtId="9" fontId="0" fillId="0" borderId="0" xfId="0" applyNumberFormat="1"/>
    <xf numFmtId="0" fontId="0" fillId="2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topLeftCell="M1" workbookViewId="0">
      <selection activeCell="O4" sqref="O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3.28515625" customWidth="1"/>
    <col min="4" max="4" width="21" bestFit="1" customWidth="1"/>
    <col min="5" max="5" width="17.42578125" customWidth="1"/>
    <col min="6" max="6" width="17.28515625" bestFit="1" customWidth="1"/>
    <col min="7" max="7" width="16.140625" customWidth="1"/>
    <col min="9" max="9" width="24.7109375" bestFit="1" customWidth="1"/>
    <col min="12" max="12" width="22.85546875" bestFit="1" customWidth="1"/>
    <col min="14" max="14" width="13.7109375" bestFit="1" customWidth="1"/>
    <col min="15" max="15" width="21.5703125" bestFit="1" customWidth="1"/>
    <col min="16" max="16" width="25.85546875" bestFit="1" customWidth="1"/>
    <col min="17" max="17" width="26.7109375" bestFit="1" customWidth="1"/>
    <col min="18" max="18" width="13.140625" bestFit="1" customWidth="1"/>
    <col min="19" max="19" width="18.7109375" bestFit="1" customWidth="1"/>
    <col min="20" max="20" width="29.28515625" bestFit="1" customWidth="1"/>
    <col min="21" max="21" width="12" customWidth="1"/>
    <col min="22" max="22" width="21.140625" bestFit="1" customWidth="1"/>
    <col min="23" max="23" width="29.42578125" bestFit="1" customWidth="1"/>
    <col min="24" max="24" width="35" bestFit="1" customWidth="1"/>
    <col min="25" max="25" width="20.140625" bestFit="1" customWidth="1"/>
    <col min="26" max="26" width="15.28515625" bestFit="1" customWidth="1"/>
    <col min="27" max="27" width="12.7109375" bestFit="1" customWidth="1"/>
    <col min="28" max="28" width="27" bestFit="1" customWidth="1"/>
    <col min="29" max="29" width="15.28515625" bestFit="1" customWidth="1"/>
  </cols>
  <sheetData>
    <row r="1" spans="1:26" x14ac:dyDescent="0.25">
      <c r="A1" t="s">
        <v>13</v>
      </c>
      <c r="B1" t="s">
        <v>14</v>
      </c>
      <c r="C1" t="s">
        <v>15</v>
      </c>
      <c r="D1" t="s">
        <v>24</v>
      </c>
      <c r="E1" t="s">
        <v>18</v>
      </c>
      <c r="F1" t="s">
        <v>16</v>
      </c>
      <c r="G1" t="s">
        <v>17</v>
      </c>
      <c r="H1" t="str">
        <f>"HSA"</f>
        <v>HSA</v>
      </c>
      <c r="I1" t="s">
        <v>39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31</v>
      </c>
      <c r="P1" t="s">
        <v>40</v>
      </c>
      <c r="Q1" t="s">
        <v>32</v>
      </c>
      <c r="R1" t="s">
        <v>25</v>
      </c>
      <c r="S1" t="s">
        <v>33</v>
      </c>
      <c r="T1" t="s">
        <v>41</v>
      </c>
      <c r="U1" t="s">
        <v>34</v>
      </c>
      <c r="V1" t="s">
        <v>36</v>
      </c>
      <c r="W1" t="s">
        <v>35</v>
      </c>
      <c r="X1" t="s">
        <v>30</v>
      </c>
      <c r="Y1" t="s">
        <v>37</v>
      </c>
      <c r="Z1" t="s">
        <v>38</v>
      </c>
    </row>
    <row r="2" spans="1:26" x14ac:dyDescent="0.25">
      <c r="A2" t="s">
        <v>49</v>
      </c>
      <c r="B2">
        <v>3068.62</v>
      </c>
      <c r="C2" t="s">
        <v>4</v>
      </c>
      <c r="D2" t="s">
        <v>7</v>
      </c>
      <c r="E2">
        <f>VLOOKUP(C2, numPay, 2, FALSE)</f>
        <v>26</v>
      </c>
      <c r="F2">
        <v>142.12</v>
      </c>
      <c r="G2">
        <v>28.32</v>
      </c>
      <c r="H2">
        <v>200</v>
      </c>
      <c r="I2" s="10">
        <f>(B2 - SUM(F2:H2)) * E2</f>
        <v>70152.679999999993</v>
      </c>
      <c r="J2">
        <f>ROUND(IF(I2&lt;INDEX(SSM, 2), I2 * INDEX(SSM, 1) / E2, INDEX(SSM, 2) * INDEX(SSM, 1) / E2), 2)</f>
        <v>167.29</v>
      </c>
      <c r="K2" s="10">
        <f>ROUND(I2 * INDEX(SSM, 3) / E2, 2)</f>
        <v>39.119999999999997</v>
      </c>
      <c r="L2" s="11">
        <f>ROUND(IF(I2&gt;INDEX(SSM, 5), (I2 - INDEX(SSM, 5)) / E2 * INDEX(SSM,4), 0), 2)</f>
        <v>0</v>
      </c>
      <c r="M2" s="12">
        <v>0.05</v>
      </c>
      <c r="N2">
        <f>ROUND(B2 * M2, 2)</f>
        <v>153.43</v>
      </c>
      <c r="O2">
        <f>IF((B2-SUM(F2:H2)-N2) &lt;0, 0, ROUND(B2-SUM(F2:H2)-N2, 2))</f>
        <v>2544.75</v>
      </c>
      <c r="P2">
        <f>ROUND(IF(O2 * E2 &lt;= 0, 0, O2 * E2), 2)</f>
        <v>66163.5</v>
      </c>
      <c r="Q2">
        <v>0</v>
      </c>
      <c r="R2">
        <v>0</v>
      </c>
      <c r="S2" s="10">
        <f>IF(D2=INDEX(FilingStatus, 1), 12900,  8600)</f>
        <v>12900</v>
      </c>
      <c r="T2">
        <f>P2 + Q2 - R2 - S2</f>
        <v>53263.5</v>
      </c>
      <c r="U2">
        <f ca="1">MATCH(T2, INDEX(INDIRECT(SUBSTITUTE(D2, " ", "")), 0, 1), 1)</f>
        <v>3</v>
      </c>
      <c r="V2">
        <f ca="1">ROUND((INDEX(INDIRECT(SUBSTITUTE(D2, " ", "")), U2, 2) + (T2 - INDEX(INDIRECT(SUBSTITUTE(D2, " ", "")), U2, 1)) * INDEX(Plus_Percentage, U2))/E2, 2)</f>
        <v>174.22</v>
      </c>
      <c r="W2">
        <v>0</v>
      </c>
      <c r="X2">
        <v>50</v>
      </c>
      <c r="Y2">
        <f ca="1">IF(V2 - (W2 / E2) + X2 &lt; 0, 0, V2 - (W2 / E2) + X2)</f>
        <v>224.22</v>
      </c>
      <c r="Z2">
        <f ca="1">B2 - SUM(F2:H2) - SUM(J2:L2) - N2 - Y2</f>
        <v>2114.1200000000003</v>
      </c>
    </row>
    <row r="3" spans="1:26" x14ac:dyDescent="0.25">
      <c r="A3" t="s">
        <v>50</v>
      </c>
      <c r="B3">
        <v>5231.87</v>
      </c>
      <c r="C3" t="s">
        <v>3</v>
      </c>
      <c r="D3" t="s">
        <v>10</v>
      </c>
      <c r="E3">
        <f>VLOOKUP(C3, numPay, 2, FALSE)</f>
        <v>24</v>
      </c>
      <c r="F3">
        <v>65.34</v>
      </c>
      <c r="G3">
        <v>12.98</v>
      </c>
      <c r="H3">
        <v>300</v>
      </c>
      <c r="I3" s="10">
        <f>(B3 - SUM(F3:H3)) * E3</f>
        <v>116485.20000000001</v>
      </c>
      <c r="J3">
        <f>ROUND(IF(I3&lt;INDEX(SSM, 2), I3 * INDEX(SSM, 1) / E3, INDEX(SSM, 2) * INDEX(SSM, 1) / E3), 2)</f>
        <v>300.92</v>
      </c>
      <c r="K3" s="10">
        <f>ROUND(I3 * INDEX(SSM, 3) / E3, 2)</f>
        <v>70.38</v>
      </c>
      <c r="L3" s="11">
        <f>ROUND(IF(I3&gt;INDEX(SSM, 5), (I3 - INDEX(SSM, 5)) / E3 * INDEX(SSM,4), 0), 2)</f>
        <v>0</v>
      </c>
      <c r="M3" s="12">
        <v>0.1</v>
      </c>
      <c r="N3">
        <f>ROUND(B3 * M3, 2)</f>
        <v>523.19000000000005</v>
      </c>
      <c r="O3">
        <f>IF((B3-SUM(F3:H3)-N3) &lt;0, 0, ROUND(B3-SUM(F3:H3)-N3, 2))</f>
        <v>4330.3599999999997</v>
      </c>
      <c r="P3">
        <f>ROUND(IF(O3 * E3 &lt;= 0, 0, O3 * E3), 2)</f>
        <v>103928.64</v>
      </c>
      <c r="Q3">
        <v>2500</v>
      </c>
      <c r="R3">
        <v>1000</v>
      </c>
      <c r="S3" s="10">
        <f>IF(D3=INDEX(FilingStatus, 1), 12900,  8600)</f>
        <v>8600</v>
      </c>
      <c r="T3">
        <f>P3 + Q3 - R3 - S3</f>
        <v>96828.64</v>
      </c>
      <c r="U3">
        <f ca="1">MATCH(T3, INDEX(INDIRECT(SUBSTITUTE(D3, " ", "")), 0, 1), 1)</f>
        <v>5</v>
      </c>
      <c r="V3">
        <f ca="1">ROUND((INDEX(INDIRECT(SUBSTITUTE(D3, " ", "")), U3, 2) + (T3 - INDEX(INDIRECT(SUBSTITUTE(D3, " ", "")), U3, 1)) * INDEX(Plus_Percentage, U3))/E3, 2)</f>
        <v>679.66</v>
      </c>
      <c r="W3">
        <v>3000</v>
      </c>
      <c r="X3">
        <v>0</v>
      </c>
      <c r="Y3">
        <f ca="1">IF(V3 - (W3 / E3) + X3 &lt; 0, 0, V3 - (W3 / E3) + X3)</f>
        <v>554.66</v>
      </c>
      <c r="Z3">
        <f ca="1">B3 - SUM(F3:H3) - SUM(J3:L3) - N3 - Y3</f>
        <v>3404.4</v>
      </c>
    </row>
    <row r="10" spans="1:26" x14ac:dyDescent="0.25">
      <c r="B10" s="1"/>
    </row>
  </sheetData>
  <dataValidations count="2">
    <dataValidation type="list" allowBlank="1" showInputMessage="1" showErrorMessage="1" sqref="C2:C20">
      <formula1>INDEX(numPay, 0, 1)</formula1>
    </dataValidation>
    <dataValidation type="list" allowBlank="1" showInputMessage="1" showErrorMessage="1" sqref="D2:D20">
      <formula1>FilingStatus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H17" sqref="H17"/>
    </sheetView>
  </sheetViews>
  <sheetFormatPr defaultRowHeight="15" x14ac:dyDescent="0.25"/>
  <cols>
    <col min="1" max="1" width="34.42578125" bestFit="1" customWidth="1"/>
    <col min="2" max="2" width="13.85546875" bestFit="1" customWidth="1"/>
    <col min="3" max="3" width="12.5703125" bestFit="1" customWidth="1"/>
    <col min="4" max="4" width="16.28515625" customWidth="1"/>
    <col min="5" max="5" width="17.28515625" customWidth="1"/>
    <col min="6" max="6" width="12.85546875" customWidth="1"/>
    <col min="7" max="7" width="14" customWidth="1"/>
  </cols>
  <sheetData>
    <row r="1" spans="1:7" x14ac:dyDescent="0.25">
      <c r="A1" s="2"/>
      <c r="B1" s="13" t="s">
        <v>43</v>
      </c>
      <c r="C1" s="13"/>
      <c r="D1" s="13" t="s">
        <v>44</v>
      </c>
      <c r="E1" s="13"/>
      <c r="F1" s="13" t="s">
        <v>45</v>
      </c>
      <c r="G1" s="13"/>
    </row>
    <row r="2" spans="1:7" x14ac:dyDescent="0.25">
      <c r="A2" s="9" t="s">
        <v>42</v>
      </c>
      <c r="B2" s="2" t="s">
        <v>8</v>
      </c>
      <c r="C2" s="2" t="s">
        <v>9</v>
      </c>
      <c r="D2" s="2" t="s">
        <v>8</v>
      </c>
      <c r="E2" s="2" t="s">
        <v>9</v>
      </c>
      <c r="F2" s="2" t="s">
        <v>12</v>
      </c>
      <c r="G2" s="2" t="s">
        <v>9</v>
      </c>
    </row>
    <row r="3" spans="1:7" x14ac:dyDescent="0.25">
      <c r="A3" s="3">
        <v>0</v>
      </c>
      <c r="B3" s="2">
        <v>0</v>
      </c>
      <c r="C3" s="4">
        <v>0</v>
      </c>
      <c r="D3" s="2">
        <v>0</v>
      </c>
      <c r="E3" s="2">
        <v>0</v>
      </c>
      <c r="F3" s="2">
        <v>0</v>
      </c>
      <c r="G3" s="2">
        <v>0</v>
      </c>
    </row>
    <row r="4" spans="1:7" x14ac:dyDescent="0.25">
      <c r="A4" s="3">
        <v>0.1</v>
      </c>
      <c r="B4" s="2">
        <v>12200</v>
      </c>
      <c r="C4" s="4">
        <f t="shared" ref="C4:C10" si="0">C3 + (B4 - B3) * A3</f>
        <v>0</v>
      </c>
      <c r="D4" s="2">
        <v>3950</v>
      </c>
      <c r="E4" s="2">
        <f t="shared" ref="E4:E10" si="1">E3 + (D4 - D3) * A3</f>
        <v>0</v>
      </c>
      <c r="F4" s="2">
        <v>10200</v>
      </c>
      <c r="G4" s="4">
        <f t="shared" ref="G4:G10" si="2">G3 + A3 * (F4 - F3)</f>
        <v>0</v>
      </c>
    </row>
    <row r="5" spans="1:7" x14ac:dyDescent="0.25">
      <c r="A5" s="3">
        <v>0.12</v>
      </c>
      <c r="B5" s="2">
        <v>32100</v>
      </c>
      <c r="C5" s="4">
        <f t="shared" si="0"/>
        <v>1990</v>
      </c>
      <c r="D5" s="2">
        <v>13900</v>
      </c>
      <c r="E5" s="2">
        <f t="shared" si="1"/>
        <v>995</v>
      </c>
      <c r="F5" s="2">
        <v>24400</v>
      </c>
      <c r="G5" s="4">
        <f t="shared" si="2"/>
        <v>1420</v>
      </c>
    </row>
    <row r="6" spans="1:7" x14ac:dyDescent="0.25">
      <c r="A6" s="3">
        <v>0.22</v>
      </c>
      <c r="B6" s="2">
        <v>93250</v>
      </c>
      <c r="C6" s="4">
        <f t="shared" si="0"/>
        <v>9328</v>
      </c>
      <c r="D6" s="2">
        <v>44475</v>
      </c>
      <c r="E6" s="2">
        <f t="shared" si="1"/>
        <v>4664</v>
      </c>
      <c r="F6" s="2">
        <v>64400</v>
      </c>
      <c r="G6" s="4">
        <f t="shared" si="2"/>
        <v>6220</v>
      </c>
    </row>
    <row r="7" spans="1:7" x14ac:dyDescent="0.25">
      <c r="A7" s="3">
        <v>0.24</v>
      </c>
      <c r="B7" s="2">
        <v>184950</v>
      </c>
      <c r="C7" s="4">
        <f t="shared" si="0"/>
        <v>29502</v>
      </c>
      <c r="D7" s="2">
        <v>90325</v>
      </c>
      <c r="E7" s="2">
        <f t="shared" si="1"/>
        <v>14751</v>
      </c>
      <c r="F7" s="2">
        <v>96550</v>
      </c>
      <c r="G7" s="4">
        <f t="shared" si="2"/>
        <v>13293</v>
      </c>
    </row>
    <row r="8" spans="1:7" x14ac:dyDescent="0.25">
      <c r="A8" s="3">
        <v>0.32</v>
      </c>
      <c r="B8" s="2">
        <v>342050</v>
      </c>
      <c r="C8" s="4">
        <f t="shared" si="0"/>
        <v>67206</v>
      </c>
      <c r="D8" s="2">
        <v>168875</v>
      </c>
      <c r="E8" s="2">
        <f t="shared" si="1"/>
        <v>33603</v>
      </c>
      <c r="F8" s="2">
        <v>175100</v>
      </c>
      <c r="G8" s="4">
        <f t="shared" si="2"/>
        <v>32145</v>
      </c>
    </row>
    <row r="9" spans="1:7" x14ac:dyDescent="0.25">
      <c r="A9" s="3">
        <v>0.35</v>
      </c>
      <c r="B9" s="2">
        <v>431050</v>
      </c>
      <c r="C9" s="4">
        <f t="shared" si="0"/>
        <v>95686</v>
      </c>
      <c r="D9" s="2">
        <v>213375</v>
      </c>
      <c r="E9" s="2">
        <f t="shared" si="1"/>
        <v>47843</v>
      </c>
      <c r="F9" s="2">
        <v>219600</v>
      </c>
      <c r="G9" s="4">
        <f t="shared" si="2"/>
        <v>46385</v>
      </c>
    </row>
    <row r="10" spans="1:7" x14ac:dyDescent="0.25">
      <c r="A10" s="3">
        <v>0.37</v>
      </c>
      <c r="B10" s="2">
        <v>640500</v>
      </c>
      <c r="C10" s="4">
        <f t="shared" si="0"/>
        <v>168993.5</v>
      </c>
      <c r="D10" s="2">
        <v>527550</v>
      </c>
      <c r="E10" s="2">
        <f t="shared" si="1"/>
        <v>157804.25</v>
      </c>
      <c r="F10" s="2">
        <v>533800</v>
      </c>
      <c r="G10" s="4">
        <f t="shared" si="2"/>
        <v>156355</v>
      </c>
    </row>
    <row r="11" spans="1:7" x14ac:dyDescent="0.25">
      <c r="A11" s="5"/>
      <c r="B11" s="2"/>
      <c r="C11" s="2"/>
      <c r="D11" s="2"/>
      <c r="E11" s="2"/>
      <c r="F11" s="2"/>
      <c r="G11" s="2"/>
    </row>
    <row r="12" spans="1:7" x14ac:dyDescent="0.25">
      <c r="A12" s="9" t="s">
        <v>46</v>
      </c>
      <c r="B12" s="13" t="s">
        <v>47</v>
      </c>
      <c r="C12" s="13"/>
      <c r="D12" s="2"/>
      <c r="E12" s="13" t="s">
        <v>48</v>
      </c>
      <c r="F12" s="13"/>
      <c r="G12" s="2"/>
    </row>
    <row r="13" spans="1:7" x14ac:dyDescent="0.25">
      <c r="A13" s="2" t="s">
        <v>7</v>
      </c>
      <c r="B13" s="2" t="s">
        <v>26</v>
      </c>
      <c r="C13" s="6">
        <v>6.2E-2</v>
      </c>
      <c r="D13" s="2"/>
      <c r="E13" s="2" t="s">
        <v>0</v>
      </c>
      <c r="F13" s="5">
        <v>2</v>
      </c>
      <c r="G13" s="2"/>
    </row>
    <row r="14" spans="1:7" x14ac:dyDescent="0.25">
      <c r="A14" s="2" t="s">
        <v>10</v>
      </c>
      <c r="B14" s="2" t="s">
        <v>51</v>
      </c>
      <c r="C14" s="7">
        <v>142800</v>
      </c>
      <c r="D14" s="2"/>
      <c r="E14" s="2" t="s">
        <v>1</v>
      </c>
      <c r="F14" s="2">
        <v>4</v>
      </c>
      <c r="G14" s="2"/>
    </row>
    <row r="15" spans="1:7" x14ac:dyDescent="0.25">
      <c r="A15" s="2" t="s">
        <v>11</v>
      </c>
      <c r="B15" s="2" t="s">
        <v>27</v>
      </c>
      <c r="C15" s="6">
        <v>1.4500000000000001E-2</v>
      </c>
      <c r="D15" s="2"/>
      <c r="E15" s="2" t="s">
        <v>2</v>
      </c>
      <c r="F15" s="2">
        <v>12</v>
      </c>
      <c r="G15" s="2"/>
    </row>
    <row r="16" spans="1:7" x14ac:dyDescent="0.25">
      <c r="A16" s="2"/>
      <c r="B16" s="2" t="s">
        <v>28</v>
      </c>
      <c r="C16" s="6">
        <v>8.9999999999999993E-3</v>
      </c>
      <c r="D16" s="2"/>
      <c r="E16" s="2" t="s">
        <v>3</v>
      </c>
      <c r="F16" s="2">
        <v>24</v>
      </c>
      <c r="G16" s="2"/>
    </row>
    <row r="17" spans="1:7" x14ac:dyDescent="0.25">
      <c r="A17" s="2"/>
      <c r="B17" s="2" t="s">
        <v>29</v>
      </c>
      <c r="C17" s="8">
        <v>200000</v>
      </c>
      <c r="D17" s="2"/>
      <c r="E17" s="2" t="s">
        <v>4</v>
      </c>
      <c r="F17" s="2">
        <v>26</v>
      </c>
      <c r="G17" s="2"/>
    </row>
    <row r="18" spans="1:7" x14ac:dyDescent="0.25">
      <c r="A18" s="2"/>
      <c r="B18" s="2"/>
      <c r="C18" s="2"/>
      <c r="D18" s="2"/>
      <c r="E18" s="2" t="s">
        <v>5</v>
      </c>
      <c r="F18" s="2">
        <v>52</v>
      </c>
      <c r="G18" s="2"/>
    </row>
    <row r="19" spans="1:7" x14ac:dyDescent="0.25">
      <c r="E19" s="2" t="s">
        <v>6</v>
      </c>
      <c r="F19" s="2">
        <v>260</v>
      </c>
    </row>
  </sheetData>
  <mergeCells count="5">
    <mergeCell ref="B1:C1"/>
    <mergeCell ref="D1:E1"/>
    <mergeCell ref="F1:G1"/>
    <mergeCell ref="B12:C12"/>
    <mergeCell ref="E12:F1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Payroll</vt:lpstr>
      <vt:lpstr>Behind-Scene</vt:lpstr>
      <vt:lpstr>FilingStatus</vt:lpstr>
      <vt:lpstr>HeadofHousehold</vt:lpstr>
      <vt:lpstr>MarriedFilingJointly</vt:lpstr>
      <vt:lpstr>numPay</vt:lpstr>
      <vt:lpstr>Plus_Percentage</vt:lpstr>
      <vt:lpstr>SingleorMarriedFilingSeparately</vt:lpstr>
      <vt:lpstr>SSM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2021-06-16T15:27:00Z</dcterms:modified>
</cp:coreProperties>
</file>