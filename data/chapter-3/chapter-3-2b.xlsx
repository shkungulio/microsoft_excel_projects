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9"/>
  </bookViews>
  <sheets>
    <sheet name="Payroll" sheetId="1" r:id="rId1"/>
    <sheet name="Behind-Scene" sheetId="2" r:id="rId2"/>
    <sheet name="CT" sheetId="4" r:id="rId3"/>
  </sheets>
  <definedNames>
    <definedName name="A_A">CT!$C$3:$D$15</definedName>
    <definedName name="A_B">CT!$E$3:$F$22</definedName>
    <definedName name="A_C">CT!$G$3:$H$27</definedName>
    <definedName name="A_D">CT!$I$3:$J$5</definedName>
    <definedName name="A_E">CT!$I$3:$J$5</definedName>
    <definedName name="A_F">CT!$K$3:$L$18</definedName>
    <definedName name="B_A">CT!$C$31:$D$37</definedName>
    <definedName name="B_B">CT!$E$31:$F$37</definedName>
    <definedName name="B_C">CT!$G$31:$H$37</definedName>
    <definedName name="B_D">CT!$C$31:$D$37</definedName>
    <definedName name="B_E">CT!$I$31:$J$32</definedName>
    <definedName name="B_F">CT!$C$31:$D$37</definedName>
    <definedName name="C_A">CT!$C$42:$D$52</definedName>
    <definedName name="C_B">CT!$E$42:$F$52</definedName>
    <definedName name="C_C">CT!$G$42:$H$52</definedName>
    <definedName name="C_D">CT!$C$42:$D$52</definedName>
    <definedName name="C_E">CT!$K$42:$L$43</definedName>
    <definedName name="C_F">CT!$I$42:$J$52</definedName>
    <definedName name="CT_code">CT!$A$2:$A$7</definedName>
    <definedName name="CT_percentage">CT!$A$31:$A$37</definedName>
    <definedName name="D_A">CT!$C$57:$D$96</definedName>
    <definedName name="D_B">CT!$E$57:$F$96</definedName>
    <definedName name="D_C">CT!$G$57:$H$96</definedName>
    <definedName name="D_D">CT!$C$57:$D$96</definedName>
    <definedName name="D_E">CT!$I$57:$J$58</definedName>
    <definedName name="D_F">CT!$C$57:$D$96</definedName>
    <definedName name="E_A">CT!$L$57:$M$85</definedName>
    <definedName name="E_B">CT!$N$57:$O$85</definedName>
    <definedName name="E_C">CT!$P$57:$Q$85</definedName>
    <definedName name="E_D">CT!$R$57:$S$85</definedName>
    <definedName name="E_E">CT!$R$57:$S$85</definedName>
    <definedName name="E_F">CT!$T$57:$U$85</definedName>
    <definedName name="FilingStatus">'Behind-Scene'!$A$13:$A$15</definedName>
    <definedName name="HeadofHousehold">'Behind-Scene'!$F$3:$G$10</definedName>
    <definedName name="MarriedFilingJointly">'Behind-Scene'!$B$3:$C$10</definedName>
    <definedName name="numPay">'Behind-Scene'!$E$13:$F$19</definedName>
    <definedName name="Plus_Percentage">'Behind-Scene'!$A$3:$A$10</definedName>
    <definedName name="SingleorMarriedFilingSeparately">'Behind-Scene'!$D$3:$E$10</definedName>
    <definedName name="SSM">'Behind-Scene'!$C$13:$C$17</definedName>
    <definedName name="StandardDeduction">'Behind-Scene'!$A$20:$A$21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  <c r="N20" i="1" l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E3" i="1" l="1"/>
  <c r="I3" i="1" s="1"/>
  <c r="J3" i="1" l="1"/>
  <c r="K3" i="1"/>
  <c r="D33" i="4"/>
  <c r="D34" i="4" s="1"/>
  <c r="D35" i="4" s="1"/>
  <c r="D36" i="4" s="1"/>
  <c r="D37" i="4" s="1"/>
  <c r="D32" i="4"/>
  <c r="F32" i="4" l="1"/>
  <c r="F33" i="4"/>
  <c r="F34" i="4" s="1"/>
  <c r="F35" i="4" s="1"/>
  <c r="F36" i="4" s="1"/>
  <c r="F37" i="4" s="1"/>
  <c r="H32" i="4"/>
  <c r="H33" i="4" s="1"/>
  <c r="H34" i="4" s="1"/>
  <c r="H35" i="4" s="1"/>
  <c r="H36" i="4" s="1"/>
  <c r="H37" i="4" s="1"/>
  <c r="E34" i="4" l="1"/>
  <c r="E35" i="4"/>
  <c r="E7" i="1" l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4" i="1"/>
  <c r="I4" i="1" s="1"/>
  <c r="E5" i="1"/>
  <c r="I5" i="1" s="1"/>
  <c r="E6" i="1"/>
  <c r="I6" i="1" s="1"/>
  <c r="E2" i="1"/>
  <c r="I2" i="1" s="1"/>
  <c r="K5" i="1" l="1"/>
  <c r="J5" i="1"/>
  <c r="K14" i="1"/>
  <c r="J14" i="1"/>
  <c r="K4" i="1"/>
  <c r="J4" i="1"/>
  <c r="K13" i="1"/>
  <c r="J13" i="1"/>
  <c r="K16" i="1"/>
  <c r="J16" i="1"/>
  <c r="K12" i="1"/>
  <c r="J12" i="1"/>
  <c r="K19" i="1"/>
  <c r="J19" i="1"/>
  <c r="K11" i="1"/>
  <c r="J11" i="1"/>
  <c r="K18" i="1"/>
  <c r="J18" i="1"/>
  <c r="K10" i="1"/>
  <c r="J10" i="1"/>
  <c r="K2" i="1"/>
  <c r="J2" i="1"/>
  <c r="K20" i="1"/>
  <c r="J20" i="1"/>
  <c r="K17" i="1"/>
  <c r="J17" i="1"/>
  <c r="K9" i="1"/>
  <c r="J9" i="1"/>
  <c r="K8" i="1"/>
  <c r="J8" i="1"/>
  <c r="K6" i="1"/>
  <c r="J6" i="1"/>
  <c r="K15" i="1"/>
  <c r="J15" i="1"/>
  <c r="K7" i="1"/>
  <c r="J7" i="1"/>
  <c r="P20" i="1"/>
  <c r="AA20" i="1" l="1"/>
  <c r="T20" i="1"/>
  <c r="AO19" i="1"/>
  <c r="L19" i="1"/>
  <c r="P19" i="1"/>
  <c r="U20" i="1"/>
  <c r="AI20" i="1"/>
  <c r="AG20" i="1"/>
  <c r="AB20" i="1"/>
  <c r="AF20" i="1"/>
  <c r="AJ20" i="1" l="1"/>
  <c r="AK20" i="1" s="1"/>
  <c r="AN20" i="1" s="1"/>
  <c r="AH20" i="1"/>
  <c r="AO20" i="1"/>
  <c r="AP20" i="1" s="1"/>
  <c r="L20" i="1"/>
  <c r="AC20" i="1"/>
  <c r="T19" i="1"/>
  <c r="AA19" i="1"/>
  <c r="AP19" i="1"/>
  <c r="AE4" i="1"/>
  <c r="P2" i="1"/>
  <c r="U19" i="1"/>
  <c r="V20" i="1"/>
  <c r="AB21" i="1"/>
  <c r="AB19" i="1"/>
  <c r="AD20" i="1"/>
  <c r="T2" i="1" l="1"/>
  <c r="Y20" i="1"/>
  <c r="AQ20" i="1" s="1"/>
  <c r="AC19" i="1"/>
  <c r="AC21" i="1"/>
  <c r="P3" i="1"/>
  <c r="P4" i="1"/>
  <c r="P5" i="1"/>
  <c r="P6" i="1"/>
  <c r="AI19" i="1"/>
  <c r="AG19" i="1"/>
  <c r="AE20" i="1"/>
  <c r="AF19" i="1"/>
  <c r="V19" i="1"/>
  <c r="U2" i="1"/>
  <c r="AD19" i="1"/>
  <c r="AD21" i="1"/>
  <c r="Y19" i="1" l="1"/>
  <c r="T6" i="1"/>
  <c r="AA6" i="1"/>
  <c r="T3" i="1"/>
  <c r="AA3" i="1"/>
  <c r="T5" i="1"/>
  <c r="AA5" i="1"/>
  <c r="T4" i="1"/>
  <c r="AA4" i="1"/>
  <c r="P14" i="1"/>
  <c r="AO2" i="1"/>
  <c r="AP2" i="1" s="1"/>
  <c r="L2" i="1"/>
  <c r="P12" i="1"/>
  <c r="P11" i="1"/>
  <c r="P18" i="1"/>
  <c r="P10" i="1"/>
  <c r="P13" i="1"/>
  <c r="P17" i="1"/>
  <c r="P9" i="1"/>
  <c r="P16" i="1"/>
  <c r="P8" i="1"/>
  <c r="P15" i="1"/>
  <c r="P7" i="1"/>
  <c r="AJ19" i="1"/>
  <c r="AK19" i="1" s="1"/>
  <c r="AN19" i="1" s="1"/>
  <c r="AH19" i="1"/>
  <c r="AG6" i="1"/>
  <c r="AF4" i="1"/>
  <c r="AB3" i="1"/>
  <c r="U5" i="1"/>
  <c r="U3" i="1"/>
  <c r="AF6" i="1"/>
  <c r="AB5" i="1"/>
  <c r="AG4" i="1"/>
  <c r="U6" i="1"/>
  <c r="V2" i="1"/>
  <c r="AI5" i="1"/>
  <c r="AB6" i="1"/>
  <c r="U4" i="1"/>
  <c r="AG5" i="1"/>
  <c r="AG3" i="1"/>
  <c r="AE19" i="1"/>
  <c r="AI6" i="1"/>
  <c r="AF5" i="1"/>
  <c r="AI3" i="1"/>
  <c r="AF3" i="1"/>
  <c r="AB4" i="1"/>
  <c r="AI4" i="1"/>
  <c r="AH4" i="1" l="1"/>
  <c r="AJ4" i="1" s="1"/>
  <c r="AK4" i="1" s="1"/>
  <c r="AN4" i="1" s="1"/>
  <c r="AO4" i="1"/>
  <c r="AP4" i="1" s="1"/>
  <c r="L4" i="1"/>
  <c r="AA14" i="1"/>
  <c r="T14" i="1"/>
  <c r="AC6" i="1"/>
  <c r="T8" i="1"/>
  <c r="AA8" i="1"/>
  <c r="L8" i="1"/>
  <c r="AO8" i="1"/>
  <c r="AP8" i="1" s="1"/>
  <c r="AO13" i="1"/>
  <c r="AP13" i="1" s="1"/>
  <c r="L13" i="1"/>
  <c r="T11" i="1"/>
  <c r="AA11" i="1"/>
  <c r="AC4" i="1"/>
  <c r="AA17" i="1"/>
  <c r="T17" i="1"/>
  <c r="AO18" i="1"/>
  <c r="AP18" i="1" s="1"/>
  <c r="L18" i="1"/>
  <c r="AO17" i="1"/>
  <c r="AP17" i="1" s="1"/>
  <c r="L17" i="1"/>
  <c r="AO11" i="1"/>
  <c r="AP11" i="1" s="1"/>
  <c r="L11" i="1"/>
  <c r="AO14" i="1"/>
  <c r="AP14" i="1" s="1"/>
  <c r="L14" i="1"/>
  <c r="AO3" i="1"/>
  <c r="AP3" i="1" s="1"/>
  <c r="L3" i="1"/>
  <c r="T16" i="1"/>
  <c r="AA16" i="1"/>
  <c r="AA13" i="1"/>
  <c r="T13" i="1"/>
  <c r="AO12" i="1"/>
  <c r="AP12" i="1" s="1"/>
  <c r="L12" i="1"/>
  <c r="AO16" i="1"/>
  <c r="AP16" i="1" s="1"/>
  <c r="L16" i="1"/>
  <c r="AO6" i="1"/>
  <c r="AP6" i="1" s="1"/>
  <c r="L6" i="1"/>
  <c r="AC5" i="1"/>
  <c r="AO5" i="1"/>
  <c r="AP5" i="1" s="1"/>
  <c r="L5" i="1"/>
  <c r="L10" i="1"/>
  <c r="AO10" i="1"/>
  <c r="AP10" i="1" s="1"/>
  <c r="AA15" i="1"/>
  <c r="T15" i="1"/>
  <c r="T9" i="1"/>
  <c r="AA9" i="1"/>
  <c r="T10" i="1"/>
  <c r="AA10" i="1"/>
  <c r="AC3" i="1"/>
  <c r="AO7" i="1"/>
  <c r="AP7" i="1" s="1"/>
  <c r="L7" i="1"/>
  <c r="AA12" i="1"/>
  <c r="T12" i="1"/>
  <c r="AA7" i="1"/>
  <c r="T7" i="1"/>
  <c r="AO15" i="1"/>
  <c r="AP15" i="1" s="1"/>
  <c r="L15" i="1"/>
  <c r="L9" i="1"/>
  <c r="AO9" i="1"/>
  <c r="AP9" i="1" s="1"/>
  <c r="T18" i="1"/>
  <c r="AA18" i="1"/>
  <c r="AQ19" i="1"/>
  <c r="AF8" i="1"/>
  <c r="AI12" i="1"/>
  <c r="AG14" i="1"/>
  <c r="AG10" i="1"/>
  <c r="AG11" i="1"/>
  <c r="AF13" i="1"/>
  <c r="U16" i="1"/>
  <c r="AI17" i="1"/>
  <c r="AD4" i="1"/>
  <c r="V3" i="1"/>
  <c r="AD3" i="1"/>
  <c r="U18" i="1"/>
  <c r="V6" i="1"/>
  <c r="U14" i="1"/>
  <c r="AI13" i="1"/>
  <c r="AB8" i="1"/>
  <c r="AF18" i="1"/>
  <c r="AB10" i="1"/>
  <c r="U12" i="1"/>
  <c r="AG7" i="1"/>
  <c r="V5" i="1"/>
  <c r="U10" i="1"/>
  <c r="U15" i="1"/>
  <c r="AB17" i="1"/>
  <c r="AG13" i="1"/>
  <c r="AB11" i="1"/>
  <c r="AI16" i="1"/>
  <c r="AB12" i="1"/>
  <c r="AF10" i="1"/>
  <c r="AB16" i="1"/>
  <c r="AG17" i="1"/>
  <c r="AG12" i="1"/>
  <c r="AF14" i="1"/>
  <c r="AI8" i="1"/>
  <c r="AG9" i="1"/>
  <c r="AI7" i="1"/>
  <c r="AB14" i="1"/>
  <c r="U7" i="1"/>
  <c r="AF9" i="1"/>
  <c r="AB15" i="1"/>
  <c r="AF16" i="1"/>
  <c r="AF17" i="1"/>
  <c r="AI18" i="1"/>
  <c r="AF11" i="1"/>
  <c r="AG15" i="1"/>
  <c r="AI10" i="1"/>
  <c r="U13" i="1"/>
  <c r="U8" i="1"/>
  <c r="AG8" i="1"/>
  <c r="AB7" i="1"/>
  <c r="AI15" i="1"/>
  <c r="AB18" i="1"/>
  <c r="AG16" i="1"/>
  <c r="V4" i="1"/>
  <c r="AD5" i="1"/>
  <c r="AB13" i="1"/>
  <c r="AF12" i="1"/>
  <c r="AI14" i="1"/>
  <c r="U17" i="1"/>
  <c r="U9" i="1"/>
  <c r="AF7" i="1"/>
  <c r="AI9" i="1"/>
  <c r="AB9" i="1"/>
  <c r="AF15" i="1"/>
  <c r="AI11" i="1"/>
  <c r="AG18" i="1"/>
  <c r="U11" i="1"/>
  <c r="AD6" i="1"/>
  <c r="Y3" i="1" l="1"/>
  <c r="Y4" i="1"/>
  <c r="AQ4" i="1" s="1"/>
  <c r="Y6" i="1"/>
  <c r="Y5" i="1"/>
  <c r="AH13" i="1"/>
  <c r="AJ13" i="1"/>
  <c r="AK13" i="1" s="1"/>
  <c r="AN13" i="1" s="1"/>
  <c r="AJ18" i="1"/>
  <c r="AK18" i="1" s="1"/>
  <c r="AN18" i="1" s="1"/>
  <c r="AH18" i="1"/>
  <c r="AH16" i="1"/>
  <c r="AJ16" i="1"/>
  <c r="AK16" i="1" s="1"/>
  <c r="AN16" i="1" s="1"/>
  <c r="AJ14" i="1"/>
  <c r="AK14" i="1" s="1"/>
  <c r="AN14" i="1" s="1"/>
  <c r="AH14" i="1"/>
  <c r="AJ10" i="1"/>
  <c r="AK10" i="1" s="1"/>
  <c r="AN10" i="1" s="1"/>
  <c r="AH10" i="1"/>
  <c r="AH9" i="1"/>
  <c r="AJ9" i="1"/>
  <c r="AK9" i="1" s="1"/>
  <c r="AN9" i="1" s="1"/>
  <c r="AJ17" i="1"/>
  <c r="AK17" i="1" s="1"/>
  <c r="AN17" i="1" s="1"/>
  <c r="AH17" i="1"/>
  <c r="AJ8" i="1"/>
  <c r="AK8" i="1" s="1"/>
  <c r="AN8" i="1" s="1"/>
  <c r="AH8" i="1"/>
  <c r="AH15" i="1"/>
  <c r="AJ15" i="1"/>
  <c r="AK15" i="1" s="1"/>
  <c r="AN15" i="1" s="1"/>
  <c r="AH12" i="1"/>
  <c r="AJ12" i="1"/>
  <c r="AK12" i="1" s="1"/>
  <c r="AN12" i="1" s="1"/>
  <c r="AJ11" i="1"/>
  <c r="AK11" i="1" s="1"/>
  <c r="AN11" i="1" s="1"/>
  <c r="AH11" i="1"/>
  <c r="AC13" i="1"/>
  <c r="AC18" i="1"/>
  <c r="AC16" i="1"/>
  <c r="AC14" i="1"/>
  <c r="AC10" i="1"/>
  <c r="AC7" i="1"/>
  <c r="AC9" i="1"/>
  <c r="AC17" i="1"/>
  <c r="AC8" i="1"/>
  <c r="AC15" i="1"/>
  <c r="AC12" i="1"/>
  <c r="AC11" i="1"/>
  <c r="T60" i="4"/>
  <c r="T61" i="4" s="1"/>
  <c r="T62" i="4" s="1"/>
  <c r="T63" i="4" s="1"/>
  <c r="T64" i="4" s="1"/>
  <c r="T65" i="4" s="1"/>
  <c r="T66" i="4" s="1"/>
  <c r="T68" i="4" s="1"/>
  <c r="T69" i="4" s="1"/>
  <c r="T70" i="4" s="1"/>
  <c r="T72" i="4" s="1"/>
  <c r="T73" i="4" s="1"/>
  <c r="T74" i="4" s="1"/>
  <c r="T75" i="4" s="1"/>
  <c r="T77" i="4" s="1"/>
  <c r="T78" i="4" s="1"/>
  <c r="T79" i="4" s="1"/>
  <c r="T80" i="4" s="1"/>
  <c r="T81" i="4" s="1"/>
  <c r="T82" i="4" s="1"/>
  <c r="T83" i="4" s="1"/>
  <c r="T84" i="4" s="1"/>
  <c r="T85" i="4" s="1"/>
  <c r="P72" i="4"/>
  <c r="P73" i="4" s="1"/>
  <c r="P74" i="4" s="1"/>
  <c r="P75" i="4" s="1"/>
  <c r="P77" i="4" s="1"/>
  <c r="P78" i="4" s="1"/>
  <c r="P79" i="4" s="1"/>
  <c r="P80" i="4" s="1"/>
  <c r="P81" i="4" s="1"/>
  <c r="P82" i="4" s="1"/>
  <c r="P83" i="4" s="1"/>
  <c r="P84" i="4" s="1"/>
  <c r="P85" i="4" s="1"/>
  <c r="P60" i="4"/>
  <c r="P61" i="4" s="1"/>
  <c r="P62" i="4" s="1"/>
  <c r="P63" i="4" s="1"/>
  <c r="P64" i="4" s="1"/>
  <c r="P65" i="4" s="1"/>
  <c r="P66" i="4" s="1"/>
  <c r="P68" i="4" s="1"/>
  <c r="P69" i="4" s="1"/>
  <c r="P70" i="4" s="1"/>
  <c r="N75" i="4"/>
  <c r="N72" i="4"/>
  <c r="N73" i="4" s="1"/>
  <c r="N74" i="4" s="1"/>
  <c r="N77" i="4" s="1"/>
  <c r="N78" i="4" s="1"/>
  <c r="N79" i="4" s="1"/>
  <c r="N80" i="4" s="1"/>
  <c r="N81" i="4" s="1"/>
  <c r="N82" i="4" s="1"/>
  <c r="N83" i="4" s="1"/>
  <c r="N84" i="4" s="1"/>
  <c r="N85" i="4" s="1"/>
  <c r="N60" i="4"/>
  <c r="N61" i="4" s="1"/>
  <c r="N62" i="4" s="1"/>
  <c r="N63" i="4" s="1"/>
  <c r="N64" i="4" s="1"/>
  <c r="N65" i="4" s="1"/>
  <c r="N66" i="4" s="1"/>
  <c r="N68" i="4" s="1"/>
  <c r="N69" i="4" s="1"/>
  <c r="N70" i="4" s="1"/>
  <c r="L77" i="4"/>
  <c r="L78" i="4" s="1"/>
  <c r="L79" i="4" s="1"/>
  <c r="L80" i="4" s="1"/>
  <c r="L81" i="4" s="1"/>
  <c r="L82" i="4" s="1"/>
  <c r="L83" i="4" s="1"/>
  <c r="L84" i="4" s="1"/>
  <c r="L85" i="4" s="1"/>
  <c r="L60" i="4"/>
  <c r="L61" i="4" s="1"/>
  <c r="L62" i="4" s="1"/>
  <c r="L63" i="4" s="1"/>
  <c r="L64" i="4" s="1"/>
  <c r="L65" i="4" s="1"/>
  <c r="L66" i="4" s="1"/>
  <c r="L68" i="4" s="1"/>
  <c r="L69" i="4" s="1"/>
  <c r="L70" i="4" s="1"/>
  <c r="L72" i="4" s="1"/>
  <c r="L73" i="4" s="1"/>
  <c r="L74" i="4" s="1"/>
  <c r="L75" i="4" s="1"/>
  <c r="G90" i="4"/>
  <c r="G91" i="4" s="1"/>
  <c r="G92" i="4" s="1"/>
  <c r="G93" i="4" s="1"/>
  <c r="G94" i="4" s="1"/>
  <c r="G95" i="4" s="1"/>
  <c r="G96" i="4" s="1"/>
  <c r="G89" i="4"/>
  <c r="G59" i="4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H58" i="4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E90" i="4"/>
  <c r="E91" i="4" s="1"/>
  <c r="E92" i="4" s="1"/>
  <c r="E93" i="4" s="1"/>
  <c r="E94" i="4" s="1"/>
  <c r="E95" i="4" s="1"/>
  <c r="E96" i="4" s="1"/>
  <c r="E89" i="4"/>
  <c r="E59" i="4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F58" i="4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D58" i="4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C60" i="4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9" i="4" s="1"/>
  <c r="C90" i="4" s="1"/>
  <c r="C91" i="4" s="1"/>
  <c r="C92" i="4" s="1"/>
  <c r="C93" i="4" s="1"/>
  <c r="C94" i="4" s="1"/>
  <c r="C95" i="4" s="1"/>
  <c r="C96" i="4" s="1"/>
  <c r="C59" i="4"/>
  <c r="J44" i="4"/>
  <c r="J45" i="4" s="1"/>
  <c r="J46" i="4" s="1"/>
  <c r="J47" i="4" s="1"/>
  <c r="J48" i="4" s="1"/>
  <c r="J49" i="4" s="1"/>
  <c r="J50" i="4" s="1"/>
  <c r="J51" i="4" s="1"/>
  <c r="J52" i="4" s="1"/>
  <c r="J43" i="4"/>
  <c r="I44" i="4"/>
  <c r="I45" i="4" s="1"/>
  <c r="I46" i="4" s="1"/>
  <c r="I47" i="4" s="1"/>
  <c r="I48" i="4" s="1"/>
  <c r="I49" i="4" s="1"/>
  <c r="I50" i="4" s="1"/>
  <c r="I51" i="4" s="1"/>
  <c r="I52" i="4" s="1"/>
  <c r="H44" i="4"/>
  <c r="H45" i="4" s="1"/>
  <c r="H46" i="4" s="1"/>
  <c r="H47" i="4" s="1"/>
  <c r="H48" i="4" s="1"/>
  <c r="H49" i="4" s="1"/>
  <c r="H50" i="4" s="1"/>
  <c r="H51" i="4" s="1"/>
  <c r="H52" i="4" s="1"/>
  <c r="H43" i="4"/>
  <c r="G45" i="4"/>
  <c r="G46" i="4" s="1"/>
  <c r="G47" i="4" s="1"/>
  <c r="G48" i="4" s="1"/>
  <c r="G49" i="4" s="1"/>
  <c r="G50" i="4" s="1"/>
  <c r="G51" i="4" s="1"/>
  <c r="G52" i="4" s="1"/>
  <c r="G44" i="4"/>
  <c r="F43" i="4"/>
  <c r="F44" i="4" s="1"/>
  <c r="F45" i="4" s="1"/>
  <c r="F46" i="4" s="1"/>
  <c r="F47" i="4" s="1"/>
  <c r="F48" i="4" s="1"/>
  <c r="F49" i="4" s="1"/>
  <c r="F50" i="4" s="1"/>
  <c r="F51" i="4" s="1"/>
  <c r="F52" i="4" s="1"/>
  <c r="E44" i="4"/>
  <c r="E45" i="4" s="1"/>
  <c r="E46" i="4" s="1"/>
  <c r="E47" i="4" s="1"/>
  <c r="E48" i="4" s="1"/>
  <c r="E49" i="4" s="1"/>
  <c r="E50" i="4" s="1"/>
  <c r="E51" i="4" s="1"/>
  <c r="E52" i="4" s="1"/>
  <c r="D43" i="4"/>
  <c r="D44" i="4" s="1"/>
  <c r="D45" i="4" s="1"/>
  <c r="D46" i="4" s="1"/>
  <c r="D47" i="4" s="1"/>
  <c r="D48" i="4" s="1"/>
  <c r="D49" i="4" s="1"/>
  <c r="D50" i="4" s="1"/>
  <c r="D51" i="4" s="1"/>
  <c r="D52" i="4" s="1"/>
  <c r="C45" i="4"/>
  <c r="C46" i="4" s="1"/>
  <c r="C47" i="4" s="1"/>
  <c r="C48" i="4" s="1"/>
  <c r="C49" i="4" s="1"/>
  <c r="C50" i="4" s="1"/>
  <c r="C51" i="4" s="1"/>
  <c r="C52" i="4" s="1"/>
  <c r="C44" i="4"/>
  <c r="V10" i="1"/>
  <c r="AE6" i="1"/>
  <c r="V15" i="1"/>
  <c r="V13" i="1"/>
  <c r="V9" i="1"/>
  <c r="V8" i="1"/>
  <c r="V17" i="1"/>
  <c r="V18" i="1"/>
  <c r="AE3" i="1"/>
  <c r="V11" i="1"/>
  <c r="AD11" i="1"/>
  <c r="AD12" i="1"/>
  <c r="V14" i="1"/>
  <c r="V7" i="1"/>
  <c r="AD16" i="1"/>
  <c r="AD17" i="1"/>
  <c r="AD13" i="1"/>
  <c r="V16" i="1"/>
  <c r="V12" i="1"/>
  <c r="AD8" i="1"/>
  <c r="AD10" i="1"/>
  <c r="AE5" i="1"/>
  <c r="AD9" i="1"/>
  <c r="AD14" i="1"/>
  <c r="AD15" i="1"/>
  <c r="AD18" i="1"/>
  <c r="AD7" i="1"/>
  <c r="Y10" i="1" l="1"/>
  <c r="AQ10" i="1" s="1"/>
  <c r="Y11" i="1"/>
  <c r="AQ11" i="1" s="1"/>
  <c r="Y9" i="1"/>
  <c r="AQ9" i="1" s="1"/>
  <c r="Y17" i="1"/>
  <c r="AQ17" i="1" s="1"/>
  <c r="AH3" i="1"/>
  <c r="AJ3" i="1" s="1"/>
  <c r="AK3" i="1" s="1"/>
  <c r="AN3" i="1" s="1"/>
  <c r="AQ3" i="1" s="1"/>
  <c r="Y12" i="1"/>
  <c r="AQ12" i="1" s="1"/>
  <c r="Y16" i="1"/>
  <c r="AQ16" i="1" s="1"/>
  <c r="AH5" i="1"/>
  <c r="AJ5" i="1" s="1"/>
  <c r="AK5" i="1" s="1"/>
  <c r="AN5" i="1" s="1"/>
  <c r="AQ5" i="1" s="1"/>
  <c r="Y7" i="1"/>
  <c r="Y15" i="1"/>
  <c r="AQ15" i="1" s="1"/>
  <c r="Y13" i="1"/>
  <c r="AQ13" i="1" s="1"/>
  <c r="Y8" i="1"/>
  <c r="AQ8" i="1" s="1"/>
  <c r="Y14" i="1"/>
  <c r="AQ14" i="1" s="1"/>
  <c r="Y18" i="1"/>
  <c r="AQ18" i="1" s="1"/>
  <c r="AH6" i="1"/>
  <c r="AJ6" i="1" s="1"/>
  <c r="AK6" i="1" s="1"/>
  <c r="AN6" i="1" s="1"/>
  <c r="AQ6" i="1" s="1"/>
  <c r="AA2" i="1"/>
  <c r="AE7" i="1"/>
  <c r="AE8" i="1"/>
  <c r="AE11" i="1"/>
  <c r="AE14" i="1"/>
  <c r="AE15" i="1"/>
  <c r="AE18" i="1"/>
  <c r="AE9" i="1"/>
  <c r="AE16" i="1"/>
  <c r="AE13" i="1"/>
  <c r="AI2" i="1"/>
  <c r="AB2" i="1"/>
  <c r="AE17" i="1"/>
  <c r="AG2" i="1"/>
  <c r="AE10" i="1"/>
  <c r="AF2" i="1"/>
  <c r="AE12" i="1"/>
  <c r="AH7" i="1" l="1"/>
  <c r="AJ7" i="1" s="1"/>
  <c r="AK7" i="1" s="1"/>
  <c r="AN7" i="1" s="1"/>
  <c r="AQ7" i="1" s="1"/>
  <c r="AC2" i="1"/>
  <c r="H1" i="1"/>
  <c r="E4" i="2"/>
  <c r="C4" i="2"/>
  <c r="G4" i="2"/>
  <c r="G5" i="2" s="1"/>
  <c r="G6" i="2" s="1"/>
  <c r="G7" i="2" s="1"/>
  <c r="G8" i="2" s="1"/>
  <c r="G9" i="2" s="1"/>
  <c r="G10" i="2" s="1"/>
  <c r="AD2" i="1"/>
  <c r="E5" i="2" l="1"/>
  <c r="E6" i="2" s="1"/>
  <c r="E7" i="2" s="1"/>
  <c r="E8" i="2" s="1"/>
  <c r="E9" i="2" s="1"/>
  <c r="E10" i="2" s="1"/>
  <c r="C5" i="2"/>
  <c r="C6" i="2" s="1"/>
  <c r="C7" i="2" s="1"/>
  <c r="C8" i="2" s="1"/>
  <c r="C9" i="2" s="1"/>
  <c r="C10" i="2" s="1"/>
  <c r="AE2" i="1"/>
  <c r="AH2" i="1" l="1"/>
  <c r="AJ2" i="1" s="1"/>
  <c r="AK2" i="1" s="1"/>
  <c r="AN2" i="1" s="1"/>
  <c r="Y2" i="1" l="1"/>
  <c r="AQ2" i="1" s="1"/>
</calcChain>
</file>

<file path=xl/sharedStrings.xml><?xml version="1.0" encoding="utf-8"?>
<sst xmlns="http://schemas.openxmlformats.org/spreadsheetml/2006/main" count="132" uniqueCount="91">
  <si>
    <t>Semiannually</t>
  </si>
  <si>
    <t>Quarterly</t>
  </si>
  <si>
    <t>Monthly</t>
  </si>
  <si>
    <t>Semimonthly</t>
  </si>
  <si>
    <t>Biweekly</t>
  </si>
  <si>
    <t>Weekly</t>
  </si>
  <si>
    <t>Daily</t>
  </si>
  <si>
    <t>Plus Percentage</t>
  </si>
  <si>
    <t>Married Filing Jointly</t>
  </si>
  <si>
    <t>At least</t>
  </si>
  <si>
    <t>Withhold</t>
  </si>
  <si>
    <t>Single or Married Filing Separately</t>
  </si>
  <si>
    <t>Head of Household</t>
  </si>
  <si>
    <t xml:space="preserve">At least </t>
  </si>
  <si>
    <t>Name</t>
  </si>
  <si>
    <t>GrossPay</t>
  </si>
  <si>
    <t>Payroll Period</t>
  </si>
  <si>
    <t>Medical Insurance</t>
  </si>
  <si>
    <t>Dental Insurance</t>
  </si>
  <si>
    <t>EstimatedNumPay</t>
  </si>
  <si>
    <t>SS Tax</t>
  </si>
  <si>
    <t>Medicare Tax</t>
  </si>
  <si>
    <t>Additional Medicare Tax</t>
  </si>
  <si>
    <t>IRA rate</t>
  </si>
  <si>
    <t>IRA Deduction</t>
  </si>
  <si>
    <t>Filing Status</t>
  </si>
  <si>
    <t>W-4 Step 4(b)</t>
  </si>
  <si>
    <t>SSN Rate</t>
  </si>
  <si>
    <t>SSN Cap</t>
  </si>
  <si>
    <t>Medicare Rate</t>
  </si>
  <si>
    <t>Over rate</t>
  </si>
  <si>
    <t>Over limit</t>
  </si>
  <si>
    <t>W-4 Step 4(C)(Additional Withholding)</t>
  </si>
  <si>
    <t>Employee1</t>
  </si>
  <si>
    <t>Period Taxable Income</t>
  </si>
  <si>
    <t>W-4 Step 4(a)(other income)</t>
  </si>
  <si>
    <t>Standard Deduction</t>
  </si>
  <si>
    <t>Table Pos</t>
  </si>
  <si>
    <t>W-4 Step 3(dependent duction)</t>
  </si>
  <si>
    <t>Tentative Withholding</t>
  </si>
  <si>
    <t>Filing Code</t>
  </si>
  <si>
    <t>A</t>
  </si>
  <si>
    <t>B</t>
  </si>
  <si>
    <t>C</t>
  </si>
  <si>
    <t>D</t>
  </si>
  <si>
    <t>F</t>
  </si>
  <si>
    <t>Exemption-- Table A</t>
  </si>
  <si>
    <t>Initial Tax -- Table B</t>
  </si>
  <si>
    <t>A, D, F</t>
  </si>
  <si>
    <t>3% Phase out Add back -- Table C</t>
  </si>
  <si>
    <t>A, D</t>
  </si>
  <si>
    <t>Tax Recapture -- Table D</t>
  </si>
  <si>
    <t>Personal Tax Credit -- Table E</t>
  </si>
  <si>
    <t>Final fed withholding</t>
  </si>
  <si>
    <t>CT filing code</t>
  </si>
  <si>
    <t>Table A Exemption</t>
  </si>
  <si>
    <t>E</t>
  </si>
  <si>
    <t>D, E</t>
  </si>
  <si>
    <t>After Exemption</t>
  </si>
  <si>
    <t>Table B tax</t>
  </si>
  <si>
    <t>Table C add back</t>
  </si>
  <si>
    <t>Table D recapture</t>
  </si>
  <si>
    <t>Table E percentage</t>
  </si>
  <si>
    <t>Period withholding</t>
  </si>
  <si>
    <t>Additional withholding</t>
  </si>
  <si>
    <t>Reduced withholding</t>
  </si>
  <si>
    <t>Final CT period withholding</t>
  </si>
  <si>
    <t>CT paid family leave insurance</t>
  </si>
  <si>
    <t>Final Period Pay</t>
  </si>
  <si>
    <t>Employee2</t>
  </si>
  <si>
    <t>Employee3</t>
  </si>
  <si>
    <t>Employee4</t>
  </si>
  <si>
    <t>Employee5</t>
  </si>
  <si>
    <t>CT Paid Family Leave Insurance Cap</t>
  </si>
  <si>
    <t>Annualized Taxable Income</t>
  </si>
  <si>
    <t>CT-annualized salary</t>
  </si>
  <si>
    <t>Annualized-SSM-pay</t>
  </si>
  <si>
    <t>Annualized CT withholding</t>
  </si>
  <si>
    <t>CT paid family annualized income</t>
  </si>
  <si>
    <t>Tentative withholding</t>
  </si>
  <si>
    <t>Adjusted Annual Wage Amount</t>
  </si>
  <si>
    <t>Employee6</t>
  </si>
  <si>
    <t>Plus_Percentage</t>
  </si>
  <si>
    <t>FilingStatus</t>
  </si>
  <si>
    <t>SSM</t>
  </si>
  <si>
    <t>numPay</t>
  </si>
  <si>
    <t>MarriedFilingJointly</t>
  </si>
  <si>
    <t>SingleOrMarriedFilingSeparately</t>
  </si>
  <si>
    <t>HeadOfHousehold</t>
  </si>
  <si>
    <t>table B Pos</t>
  </si>
  <si>
    <t>StandardDeduction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</si>
</sst>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9" fontId="0" fillId="0" borderId="0" xfId="2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NumberFormat="1"/>
    <xf numFmtId="0" fontId="0" fillId="0" borderId="0" xfId="0" applyAlignment="1"/>
    <xf numFmtId="0" fontId="0" fillId="0" borderId="0" xfId="2" applyNumberFormat="1" applyFont="1"/>
    <xf numFmtId="10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/>
    <xf numFmtId="0" fontId="0" fillId="2" borderId="1" xfId="0" applyFill="1" applyBorder="1"/>
    <xf numFmtId="0" fontId="0" fillId="0" borderId="0" xfId="0" applyAlignment="1"/>
    <xf numFmtId="10" fontId="0" fillId="0" borderId="0" xfId="2" applyNumberFormat="1" applyFont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T21"/>
  <sheetViews>
    <sheetView tabSelected="1" zoomScaleNormal="100" workbookViewId="0">
      <selection activeCell="A8" sqref="A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3.28515625" customWidth="1"/>
    <col min="4" max="4" width="21" bestFit="1" customWidth="1"/>
    <col min="5" max="5" width="17.5703125" bestFit="1" customWidth="1"/>
    <col min="6" max="6" width="17.28515625" bestFit="1" customWidth="1"/>
    <col min="7" max="7" width="16" bestFit="1" customWidth="1"/>
    <col min="9" max="9" width="24.7109375" bestFit="1" customWidth="1"/>
    <col min="12" max="12" width="22.85546875" bestFit="1" customWidth="1"/>
    <col min="14" max="14" width="13.7109375" bestFit="1" customWidth="1"/>
    <col min="15" max="15" width="15.5703125" customWidth="1"/>
    <col min="16" max="16" width="24.85546875" customWidth="1"/>
    <col min="17" max="17" width="26.7109375" bestFit="1" customWidth="1"/>
    <col min="18" max="18" width="12.85546875" customWidth="1"/>
    <col min="19" max="19" width="19.140625" customWidth="1"/>
    <col min="20" max="20" width="29.28515625" customWidth="1"/>
    <col min="21" max="21" width="12" customWidth="1"/>
    <col min="22" max="22" width="21.140625" bestFit="1" customWidth="1"/>
    <col min="23" max="23" width="29.42578125" bestFit="1" customWidth="1"/>
    <col min="24" max="24" width="35" bestFit="1" customWidth="1"/>
    <col min="25" max="25" width="20.140625" bestFit="1" customWidth="1"/>
    <col min="26" max="26" width="12.28515625" customWidth="1"/>
    <col min="27" max="27" width="15.5703125" bestFit="1" customWidth="1"/>
    <col min="28" max="28" width="18.42578125" customWidth="1"/>
    <col min="29" max="29" width="15.28515625" bestFit="1" customWidth="1"/>
    <col min="30" max="31" width="10.5703125" bestFit="1" customWidth="1"/>
    <col min="32" max="32" width="15.7109375" bestFit="1" customWidth="1"/>
    <col min="33" max="33" width="16.7109375" bestFit="1" customWidth="1"/>
    <col min="34" max="34" width="20.5703125" bestFit="1" customWidth="1"/>
    <col min="35" max="35" width="18" bestFit="1" customWidth="1"/>
    <col min="36" max="36" width="25.140625" bestFit="1" customWidth="1"/>
    <col min="37" max="37" width="18.28515625" bestFit="1" customWidth="1"/>
    <col min="38" max="38" width="21.85546875" bestFit="1" customWidth="1"/>
    <col min="39" max="39" width="20.140625" bestFit="1" customWidth="1"/>
    <col min="40" max="40" width="25.85546875" bestFit="1" customWidth="1"/>
    <col min="41" max="41" width="31.28515625" bestFit="1" customWidth="1"/>
    <col min="42" max="42" width="28.28515625" bestFit="1" customWidth="1"/>
    <col min="43" max="43" width="15.28515625" bestFit="1" customWidth="1"/>
    <col min="45" max="45" width="32.7109375" bestFit="1" customWidth="1"/>
  </cols>
  <sheetData>
    <row r="1" spans="1:46" x14ac:dyDescent="0.25">
      <c r="A1" t="s">
        <v>14</v>
      </c>
      <c r="B1" t="s">
        <v>15</v>
      </c>
      <c r="C1" t="s">
        <v>16</v>
      </c>
      <c r="D1" t="s">
        <v>25</v>
      </c>
      <c r="E1" t="s">
        <v>19</v>
      </c>
      <c r="F1" t="s">
        <v>17</v>
      </c>
      <c r="G1" t="s">
        <v>18</v>
      </c>
      <c r="H1" t="str">
        <f>"HSA"</f>
        <v>HSA</v>
      </c>
      <c r="I1" t="s">
        <v>76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34</v>
      </c>
      <c r="P1" t="s">
        <v>74</v>
      </c>
      <c r="Q1" t="s">
        <v>35</v>
      </c>
      <c r="R1" t="s">
        <v>26</v>
      </c>
      <c r="S1" t="s">
        <v>36</v>
      </c>
      <c r="T1" t="s">
        <v>80</v>
      </c>
      <c r="U1" t="s">
        <v>37</v>
      </c>
      <c r="V1" t="s">
        <v>39</v>
      </c>
      <c r="W1" t="s">
        <v>38</v>
      </c>
      <c r="X1" t="s">
        <v>32</v>
      </c>
      <c r="Y1" t="s">
        <v>53</v>
      </c>
      <c r="Z1" t="s">
        <v>54</v>
      </c>
      <c r="AA1" t="s">
        <v>75</v>
      </c>
      <c r="AB1" t="s">
        <v>55</v>
      </c>
      <c r="AC1" t="s">
        <v>58</v>
      </c>
      <c r="AD1" t="s">
        <v>89</v>
      </c>
      <c r="AE1" t="s">
        <v>59</v>
      </c>
      <c r="AF1" t="s">
        <v>60</v>
      </c>
      <c r="AG1" t="s">
        <v>61</v>
      </c>
      <c r="AH1" t="s">
        <v>79</v>
      </c>
      <c r="AI1" t="s">
        <v>62</v>
      </c>
      <c r="AJ1" t="s">
        <v>77</v>
      </c>
      <c r="AK1" t="s">
        <v>63</v>
      </c>
      <c r="AL1" t="s">
        <v>64</v>
      </c>
      <c r="AM1" t="s">
        <v>65</v>
      </c>
      <c r="AN1" t="s">
        <v>66</v>
      </c>
      <c r="AO1" t="s">
        <v>78</v>
      </c>
      <c r="AP1" t="s">
        <v>67</v>
      </c>
      <c r="AQ1" t="s">
        <v>68</v>
      </c>
      <c r="AS1" s="13" t="s">
        <v>73</v>
      </c>
      <c r="AT1" s="13">
        <v>142800</v>
      </c>
    </row>
    <row r="2" spans="1:46" x14ac:dyDescent="0.25">
      <c r="A2" t="s">
        <v>33</v>
      </c>
      <c r="B2">
        <v>3068.62</v>
      </c>
      <c r="C2" t="s">
        <v>4</v>
      </c>
      <c r="D2" t="s">
        <v>8</v>
      </c>
      <c r="E2">
        <f t="shared" ref="E2:E20" si="0">IF(C2="", "", LOOKUP(C2, numPay))</f>
        <v>26</v>
      </c>
      <c r="F2">
        <v>142.12</v>
      </c>
      <c r="G2">
        <v>28.32</v>
      </c>
      <c r="H2">
        <v>200</v>
      </c>
      <c r="I2">
        <f>IF(AND(E2&gt;0, D2 &lt;&gt; ""), IF(B2-SUM(F2:H2) &gt; 0, (B2-SUM(F2:H2)) * E2, 0), "")</f>
        <v>70152.679999999993</v>
      </c>
      <c r="J2">
        <f t="shared" ref="J2:J20" si="1">IFERROR(ROUND(IF(I2&lt;INDEX(SSM,2),I2*INDEX(SSM,1)/E2,INDEX(SSM,2)*INDEX(SSM,1)/E2),2), "")</f>
        <v>167.29</v>
      </c>
      <c r="K2">
        <f t="shared" ref="K2:K20" si="2">IFERROR(ROUND(I2 * INDEX(SSM, 3) / E2, 2), "")</f>
        <v>39.119999999999997</v>
      </c>
      <c r="L2">
        <f>IFERROR(ROUND(IF(I2&gt;INDEX(SSM,5), (I2-INDEX(SSM,5))/E2*INDEX(SSM,4), 0),2), "")</f>
        <v>0</v>
      </c>
      <c r="M2" s="3">
        <v>0.05</v>
      </c>
      <c r="N2">
        <f>IF(M2&lt;&gt;"", ROUND(B2*M2,2), "")</f>
        <v>153.43</v>
      </c>
      <c r="O2">
        <f>IFERROR(IF((B2-SUM(F2:H2)-N2)&lt;=0, 0, ROUND(B2-SUM(F2:H2)-N2, 2)), "")</f>
        <v>2544.75</v>
      </c>
      <c r="P2">
        <f>IFERROR(ROUND(IF(O2*E2&lt;=0, 0, O2*E2),2), "")</f>
        <v>66163.5</v>
      </c>
      <c r="Q2">
        <v>0</v>
      </c>
      <c r="R2">
        <v>0</v>
      </c>
      <c r="S2">
        <f t="shared" ref="S2:S20" si="3">IF(D2=INDEX(FilingStatus,1), INDEX(StandardDeduction, 1), IF(D2 &lt;&gt; "", INDEX(StandardDeduction, 2), ""))</f>
        <v>12900</v>
      </c>
      <c r="T2">
        <f>IFERROR(P2+Q2-R2-S2, "")</f>
        <v>53263.5</v>
      </c>
      <c r="U2">
        <f ca="1">IFERROR(MATCH(T2, INDEX(INDIRECT(SUBSTITUTE(D2," ","")), 0, 1), 1), "")</f>
        <v>3</v>
      </c>
      <c r="V2">
        <f t="shared" ref="V2:V20" ca="1" si="4">IFERROR(ROUND((INDEX(INDIRECT(SUBSTITUTE(D2," ","")), U2, 2) + (T2-INDEX(INDIRECT(SUBSTITUTE(D2, " ","")), U2, 1)) * INDEX(Plus_Percentage, U2))/E2, 2), "")</f>
        <v>174.22</v>
      </c>
      <c r="W2">
        <v>0</v>
      </c>
      <c r="X2">
        <v>50</v>
      </c>
      <c r="Y2">
        <f ca="1">IFERROR(ROUND(IF(V2-(W2/E2)+X2&lt;0, 0, V2-(W2/E2)+X2),2), "")</f>
        <v>224.22</v>
      </c>
      <c r="Z2" t="s">
        <v>43</v>
      </c>
      <c r="AA2">
        <f>P2</f>
        <v>66163.5</v>
      </c>
      <c r="AB2">
        <f ca="1">IFERROR(LOOKUP(AA2, INDIRECT("A_"&amp;Z2)), "")</f>
        <v>5000</v>
      </c>
      <c r="AC2">
        <f ca="1">IFERROR(IF(AA2-AB2&lt;=0, 0, AA2-AB2), "")</f>
        <v>61163.5</v>
      </c>
      <c r="AD2">
        <f ca="1">IFERROR(MATCH(AC2, INDEX(INDIRECT("B_"&amp;Z2), 0, 1)), "")</f>
        <v>2</v>
      </c>
      <c r="AE2">
        <f t="shared" ref="AE2:AE20" ca="1" si="5">IFERROR(ROUND(IF(Z2="E", 0, INDEX(INDIRECT("B_"&amp;Z2),AD2,2)+INDEX(CT_percentage,AD2)*(AC2-INDEX(INDIRECT("B_"&amp;Z2),AD2,1))), 2), "")</f>
        <v>2658.18</v>
      </c>
      <c r="AF2">
        <f ca="1">IFERROR(LOOKUP(AA2,INDIRECT("C_"&amp;Z2)), "")</f>
        <v>0</v>
      </c>
      <c r="AG2">
        <f ca="1">IFERROR(LOOKUP(AA2, INDIRECT("D_"&amp;Z2)), "")</f>
        <v>0</v>
      </c>
      <c r="AH2">
        <f ca="1">IF(AG2&lt;&gt;"", ROUND(SUM(AE2:AG2),2), "")</f>
        <v>2658.18</v>
      </c>
      <c r="AI2">
        <f ca="1">IFERROR(LOOKUP(AA2, INDIRECT("E_"&amp;Z2)), "")</f>
        <v>0.100000000000004</v>
      </c>
      <c r="AJ2">
        <f ca="1">IF(AI2&lt;&gt;"", ROUND(AH2*(1-AI2), 2), "")</f>
        <v>2392.36</v>
      </c>
      <c r="AK2">
        <f ca="1">IFERROR(ROUND(AJ2/E2, 2), "")</f>
        <v>92.01</v>
      </c>
      <c r="AL2">
        <v>50</v>
      </c>
      <c r="AM2">
        <v>0</v>
      </c>
      <c r="AN2">
        <f ca="1">IFERROR(AK2+AL2-AM2, "")</f>
        <v>142.01</v>
      </c>
      <c r="AO2">
        <f>I2</f>
        <v>70152.679999999993</v>
      </c>
      <c r="AP2">
        <f>IFERROR(ROUND(IF(AO2&lt;=$AT$1, AO2*0.5%/E2, $AT$1*0.5%/E2),2), "")</f>
        <v>13.49</v>
      </c>
      <c r="AQ2">
        <f ca="1">IFERROR(ROUND(B2-SUM(F2:H2)-SUM(J2:L2)-N2-Y2-AN2-AP2, 2), "")</f>
        <v>1958.62</v>
      </c>
    </row>
    <row r="3" spans="1:46" x14ac:dyDescent="0.25">
      <c r="A3" t="s">
        <v>69</v>
      </c>
      <c r="B3">
        <v>22987.29</v>
      </c>
      <c r="C3" t="s">
        <v>2</v>
      </c>
      <c r="D3" t="s">
        <v>11</v>
      </c>
      <c r="E3">
        <f t="shared" si="0"/>
        <v>12</v>
      </c>
      <c r="F3">
        <v>142.12</v>
      </c>
      <c r="G3">
        <v>28.32</v>
      </c>
      <c r="H3">
        <v>600</v>
      </c>
      <c r="I3">
        <f t="shared" ref="I3:I20" si="6">IF(AND(E3&gt;0, D3 &lt;&gt; ""), IF(B3-SUM(F3:H3) &gt; 0, (B3-SUM(F3:H3)) * E3, 0), "")</f>
        <v>266602.2</v>
      </c>
      <c r="J3">
        <f t="shared" si="1"/>
        <v>737.8</v>
      </c>
      <c r="K3">
        <f t="shared" si="2"/>
        <v>322.14</v>
      </c>
      <c r="L3">
        <f t="shared" ref="L3:L20" si="7">IFERROR(ROUND(IF(I3&gt;INDEX(SSM,5), (I3-INDEX(SSM,5))/E3*INDEX(SSM,4), 0),2), "")</f>
        <v>49.95</v>
      </c>
      <c r="M3" s="3">
        <v>0.1</v>
      </c>
      <c r="N3">
        <f t="shared" ref="N3:N20" si="8">IF(M3&lt;&gt;"", ROUND(B3*M3,2), "")</f>
        <v>2298.73</v>
      </c>
      <c r="O3">
        <f t="shared" ref="O3:O20" si="9">IFERROR(IF((B3-SUM(F3:H3)-N3)&lt;=0, 0, ROUND(B3-SUM(F3:H3)-N3, 2)), "")</f>
        <v>19918.12</v>
      </c>
      <c r="P3">
        <f t="shared" ref="P3:P20" si="10">IFERROR(ROUND(IF(O3*E3&lt;=0, 0, O3*E3),2), "")</f>
        <v>239017.44</v>
      </c>
      <c r="Q3">
        <v>0</v>
      </c>
      <c r="R3">
        <v>1000</v>
      </c>
      <c r="S3">
        <f t="shared" si="3"/>
        <v>8600</v>
      </c>
      <c r="T3">
        <f t="shared" ref="T3:T20" si="11">IFERROR(P3+Q3-R3-S3, "")</f>
        <v>229417.44</v>
      </c>
      <c r="U3">
        <f t="shared" ref="U3:U20" ca="1" si="12">IFERROR(MATCH(T3, INDEX(INDIRECT(SUBSTITUTE(D3," ","")), 0, 1), 1), "")</f>
        <v>7</v>
      </c>
      <c r="V3">
        <f t="shared" ca="1" si="4"/>
        <v>4454.82</v>
      </c>
      <c r="W3">
        <v>0</v>
      </c>
      <c r="X3">
        <v>0</v>
      </c>
      <c r="Y3">
        <f t="shared" ref="Y3:Y20" ca="1" si="13">IFERROR(ROUND(IF(V3-(W3/E3)+X3&lt;0, 0, V3-(W3/E3)+X3),2), "")</f>
        <v>4454.82</v>
      </c>
      <c r="Z3" t="s">
        <v>44</v>
      </c>
      <c r="AA3">
        <f t="shared" ref="AA3:AA20" si="14">P3</f>
        <v>239017.44</v>
      </c>
      <c r="AB3">
        <f t="shared" ref="AB3:AB21" ca="1" si="15">IFERROR(LOOKUP(AA3, INDIRECT("A_"&amp;Z3)), "")</f>
        <v>0</v>
      </c>
      <c r="AC3">
        <f t="shared" ref="AC3:AC21" ca="1" si="16">IFERROR(IF(AA3-AB3&lt;=0, 0, AA3-AB3), "")</f>
        <v>239017.44</v>
      </c>
      <c r="AD3">
        <f t="shared" ref="AD3:AD21" ca="1" si="17">IFERROR(MATCH(AC3, INDEX(INDIRECT("B_"&amp;Z3), 0, 1)), "")</f>
        <v>5</v>
      </c>
      <c r="AE3">
        <f t="shared" ca="1" si="5"/>
        <v>13586.13</v>
      </c>
      <c r="AF3">
        <f t="shared" ref="AF3:AF20" ca="1" si="18">IFERROR(LOOKUP(AA3,INDIRECT("C_"&amp;Z3)), "")</f>
        <v>200</v>
      </c>
      <c r="AG3">
        <f t="shared" ref="AG3:AG20" ca="1" si="19">IFERROR(LOOKUP(AA3, INDIRECT("D_"&amp;Z3)), "")</f>
        <v>720</v>
      </c>
      <c r="AH3">
        <f t="shared" ref="AH3:AH20" ca="1" si="20">IF(AG3&lt;&gt;"", ROUND(SUM(AE3:AG3),2), "")</f>
        <v>14506.13</v>
      </c>
      <c r="AI3">
        <f t="shared" ref="AI3:AI20" ca="1" si="21">IFERROR(LOOKUP(AA3, INDIRECT("E_"&amp;Z3)), "")</f>
        <v>0</v>
      </c>
      <c r="AJ3">
        <f t="shared" ref="AJ3:AJ20" ca="1" si="22">IF(AI3&lt;&gt;"", ROUND(AH3*(1-AI3), 2), "")</f>
        <v>14506.13</v>
      </c>
      <c r="AK3">
        <f t="shared" ref="AK3:AK20" ca="1" si="23">IFERROR(ROUND(AJ3/E3, 2), "")</f>
        <v>1208.8399999999999</v>
      </c>
      <c r="AL3">
        <v>50</v>
      </c>
      <c r="AM3">
        <v>0</v>
      </c>
      <c r="AN3">
        <f t="shared" ref="AN3:AN20" ca="1" si="24">IFERROR(AK3+AL3-AM3, "")</f>
        <v>1258.8399999999999</v>
      </c>
      <c r="AO3">
        <f t="shared" ref="AO3:AO20" si="25">I3</f>
        <v>266602.2</v>
      </c>
      <c r="AP3">
        <f t="shared" ref="AP3:AP20" si="26">IFERROR(ROUND(IF(AO3&lt;=$AT$1, AO3*0.5%/E3, $AT$1*0.5%/E3),2), "")</f>
        <v>59.5</v>
      </c>
      <c r="AQ3">
        <f t="shared" ref="AQ3:AQ20" ca="1" si="27">IFERROR(ROUND(B3-SUM(F3:H3)-SUM(J3:L3)-N3-Y3-AN3-AP3, 2), "")</f>
        <v>13035.07</v>
      </c>
    </row>
    <row r="4" spans="1:46" x14ac:dyDescent="0.25">
      <c r="A4" t="s">
        <v>70</v>
      </c>
      <c r="B4">
        <v>516.35</v>
      </c>
      <c r="C4" t="s">
        <v>5</v>
      </c>
      <c r="D4" t="s">
        <v>12</v>
      </c>
      <c r="E4">
        <f t="shared" si="0"/>
        <v>52</v>
      </c>
      <c r="F4">
        <v>88.61</v>
      </c>
      <c r="G4">
        <v>0</v>
      </c>
      <c r="H4">
        <v>50</v>
      </c>
      <c r="I4">
        <f t="shared" si="6"/>
        <v>19642.48</v>
      </c>
      <c r="J4">
        <f t="shared" si="1"/>
        <v>23.42</v>
      </c>
      <c r="K4">
        <f t="shared" si="2"/>
        <v>5.48</v>
      </c>
      <c r="L4">
        <f t="shared" si="7"/>
        <v>0</v>
      </c>
      <c r="M4" s="3">
        <v>0</v>
      </c>
      <c r="N4">
        <f t="shared" si="8"/>
        <v>0</v>
      </c>
      <c r="O4">
        <f t="shared" si="9"/>
        <v>377.74</v>
      </c>
      <c r="P4">
        <f t="shared" si="10"/>
        <v>19642.48</v>
      </c>
      <c r="Q4">
        <v>0</v>
      </c>
      <c r="R4">
        <v>2000</v>
      </c>
      <c r="S4">
        <f t="shared" si="3"/>
        <v>8600</v>
      </c>
      <c r="T4">
        <f t="shared" si="11"/>
        <v>9042.48</v>
      </c>
      <c r="U4">
        <f t="shared" ca="1" si="12"/>
        <v>1</v>
      </c>
      <c r="V4">
        <f t="shared" ca="1" si="4"/>
        <v>0</v>
      </c>
      <c r="W4">
        <v>1000</v>
      </c>
      <c r="X4">
        <v>0</v>
      </c>
      <c r="Y4">
        <f t="shared" ca="1" si="13"/>
        <v>0</v>
      </c>
      <c r="Z4" t="s">
        <v>56</v>
      </c>
      <c r="AA4">
        <f t="shared" si="14"/>
        <v>19642.48</v>
      </c>
      <c r="AB4">
        <f t="shared" ca="1" si="15"/>
        <v>0</v>
      </c>
      <c r="AC4">
        <f t="shared" ca="1" si="16"/>
        <v>19642.48</v>
      </c>
      <c r="AD4">
        <f t="shared" ca="1" si="17"/>
        <v>2</v>
      </c>
      <c r="AE4">
        <f t="shared" ca="1" si="5"/>
        <v>0</v>
      </c>
      <c r="AF4">
        <f t="shared" ca="1" si="18"/>
        <v>0</v>
      </c>
      <c r="AG4">
        <f t="shared" ca="1" si="19"/>
        <v>0</v>
      </c>
      <c r="AH4">
        <f t="shared" ca="1" si="20"/>
        <v>0</v>
      </c>
      <c r="AI4">
        <f t="shared" ca="1" si="21"/>
        <v>0</v>
      </c>
      <c r="AJ4">
        <f t="shared" ca="1" si="22"/>
        <v>0</v>
      </c>
      <c r="AK4">
        <f t="shared" ca="1" si="23"/>
        <v>0</v>
      </c>
      <c r="AL4">
        <v>0</v>
      </c>
      <c r="AM4">
        <v>0</v>
      </c>
      <c r="AN4">
        <f t="shared" ca="1" si="24"/>
        <v>0</v>
      </c>
      <c r="AO4">
        <f t="shared" si="25"/>
        <v>19642.48</v>
      </c>
      <c r="AP4">
        <f t="shared" si="26"/>
        <v>1.89</v>
      </c>
      <c r="AQ4">
        <f t="shared" ca="1" si="27"/>
        <v>346.95</v>
      </c>
    </row>
    <row r="5" spans="1:46" x14ac:dyDescent="0.25">
      <c r="A5" t="s">
        <v>71</v>
      </c>
      <c r="B5">
        <v>5210</v>
      </c>
      <c r="C5" t="s">
        <v>3</v>
      </c>
      <c r="D5" t="s">
        <v>8</v>
      </c>
      <c r="E5">
        <f t="shared" si="0"/>
        <v>24</v>
      </c>
      <c r="F5">
        <v>138.09</v>
      </c>
      <c r="G5">
        <v>28.32</v>
      </c>
      <c r="H5">
        <v>250</v>
      </c>
      <c r="I5">
        <f t="shared" si="6"/>
        <v>115046.16</v>
      </c>
      <c r="J5">
        <f t="shared" si="1"/>
        <v>297.2</v>
      </c>
      <c r="K5">
        <f t="shared" si="2"/>
        <v>69.510000000000005</v>
      </c>
      <c r="L5">
        <f t="shared" si="7"/>
        <v>0</v>
      </c>
      <c r="M5" s="3">
        <v>0.1</v>
      </c>
      <c r="N5">
        <f t="shared" si="8"/>
        <v>521</v>
      </c>
      <c r="O5">
        <f t="shared" si="9"/>
        <v>4272.59</v>
      </c>
      <c r="P5">
        <f t="shared" si="10"/>
        <v>102542.16</v>
      </c>
      <c r="Q5">
        <v>2000</v>
      </c>
      <c r="R5">
        <v>0</v>
      </c>
      <c r="S5">
        <f t="shared" si="3"/>
        <v>12900</v>
      </c>
      <c r="T5">
        <f t="shared" si="11"/>
        <v>91642.16</v>
      </c>
      <c r="U5">
        <f t="shared" ca="1" si="12"/>
        <v>3</v>
      </c>
      <c r="V5">
        <f t="shared" ca="1" si="4"/>
        <v>380.63</v>
      </c>
      <c r="W5">
        <v>500</v>
      </c>
      <c r="X5">
        <v>100</v>
      </c>
      <c r="Y5">
        <f t="shared" ca="1" si="13"/>
        <v>459.8</v>
      </c>
      <c r="Z5" t="s">
        <v>41</v>
      </c>
      <c r="AA5">
        <f t="shared" si="14"/>
        <v>102542.16</v>
      </c>
      <c r="AB5">
        <f t="shared" ca="1" si="15"/>
        <v>0</v>
      </c>
      <c r="AC5">
        <f t="shared" ca="1" si="16"/>
        <v>102542.16</v>
      </c>
      <c r="AD5">
        <f t="shared" ca="1" si="17"/>
        <v>4</v>
      </c>
      <c r="AE5">
        <f t="shared" ca="1" si="5"/>
        <v>5202.53</v>
      </c>
      <c r="AF5">
        <f t="shared" ca="1" si="18"/>
        <v>200</v>
      </c>
      <c r="AG5">
        <f t="shared" ca="1" si="19"/>
        <v>0</v>
      </c>
      <c r="AH5">
        <f t="shared" ca="1" si="20"/>
        <v>5402.53</v>
      </c>
      <c r="AI5">
        <f t="shared" ca="1" si="21"/>
        <v>0</v>
      </c>
      <c r="AJ5">
        <f t="shared" ca="1" si="22"/>
        <v>5402.53</v>
      </c>
      <c r="AK5">
        <f t="shared" ca="1" si="23"/>
        <v>225.11</v>
      </c>
      <c r="AL5">
        <v>0</v>
      </c>
      <c r="AM5">
        <v>0</v>
      </c>
      <c r="AN5">
        <f t="shared" ca="1" si="24"/>
        <v>225.11</v>
      </c>
      <c r="AO5">
        <f t="shared" si="25"/>
        <v>115046.16</v>
      </c>
      <c r="AP5">
        <f t="shared" si="26"/>
        <v>23.97</v>
      </c>
      <c r="AQ5">
        <f t="shared" ca="1" si="27"/>
        <v>3197</v>
      </c>
    </row>
    <row r="6" spans="1:46" x14ac:dyDescent="0.25">
      <c r="A6" t="s">
        <v>72</v>
      </c>
      <c r="B6">
        <v>10000</v>
      </c>
      <c r="C6" t="s">
        <v>1</v>
      </c>
      <c r="D6" t="s">
        <v>11</v>
      </c>
      <c r="E6">
        <f t="shared" si="0"/>
        <v>4</v>
      </c>
      <c r="F6">
        <v>412</v>
      </c>
      <c r="G6">
        <v>105.78</v>
      </c>
      <c r="H6">
        <v>1500</v>
      </c>
      <c r="I6">
        <f t="shared" si="6"/>
        <v>31928.880000000001</v>
      </c>
      <c r="J6">
        <f t="shared" si="1"/>
        <v>494.9</v>
      </c>
      <c r="K6">
        <f t="shared" si="2"/>
        <v>115.74</v>
      </c>
      <c r="L6">
        <f t="shared" si="7"/>
        <v>0</v>
      </c>
      <c r="M6" s="3">
        <v>0.11</v>
      </c>
      <c r="N6">
        <f t="shared" si="8"/>
        <v>1100</v>
      </c>
      <c r="O6">
        <f t="shared" si="9"/>
        <v>6882.22</v>
      </c>
      <c r="P6">
        <f t="shared" si="10"/>
        <v>27528.880000000001</v>
      </c>
      <c r="Q6">
        <v>0</v>
      </c>
      <c r="R6">
        <v>0</v>
      </c>
      <c r="S6">
        <f t="shared" si="3"/>
        <v>8600</v>
      </c>
      <c r="T6">
        <f t="shared" si="11"/>
        <v>18928.88</v>
      </c>
      <c r="U6">
        <f t="shared" ca="1" si="12"/>
        <v>3</v>
      </c>
      <c r="V6">
        <f t="shared" ca="1" si="4"/>
        <v>399.62</v>
      </c>
      <c r="W6">
        <v>500</v>
      </c>
      <c r="X6">
        <v>100</v>
      </c>
      <c r="Y6">
        <f t="shared" ca="1" si="13"/>
        <v>374.62</v>
      </c>
      <c r="Z6" t="s">
        <v>42</v>
      </c>
      <c r="AA6">
        <f t="shared" si="14"/>
        <v>27528.880000000001</v>
      </c>
      <c r="AB6">
        <f t="shared" ca="1" si="15"/>
        <v>19000</v>
      </c>
      <c r="AC6">
        <f t="shared" ca="1" si="16"/>
        <v>8528.880000000001</v>
      </c>
      <c r="AD6">
        <f t="shared" ca="1" si="17"/>
        <v>1</v>
      </c>
      <c r="AE6">
        <f t="shared" ca="1" si="5"/>
        <v>255.87</v>
      </c>
      <c r="AF6">
        <f t="shared" ca="1" si="18"/>
        <v>0</v>
      </c>
      <c r="AG6">
        <f t="shared" ca="1" si="19"/>
        <v>0</v>
      </c>
      <c r="AH6">
        <f t="shared" ca="1" si="20"/>
        <v>255.87</v>
      </c>
      <c r="AI6">
        <f t="shared" ca="1" si="21"/>
        <v>0.35</v>
      </c>
      <c r="AJ6">
        <f t="shared" ca="1" si="22"/>
        <v>166.32</v>
      </c>
      <c r="AK6">
        <f t="shared" ca="1" si="23"/>
        <v>41.58</v>
      </c>
      <c r="AL6">
        <v>0</v>
      </c>
      <c r="AM6">
        <v>0</v>
      </c>
      <c r="AN6">
        <f t="shared" ca="1" si="24"/>
        <v>41.58</v>
      </c>
      <c r="AO6">
        <f t="shared" si="25"/>
        <v>31928.880000000001</v>
      </c>
      <c r="AP6">
        <f t="shared" si="26"/>
        <v>39.909999999999997</v>
      </c>
      <c r="AQ6">
        <f t="shared" ca="1" si="27"/>
        <v>5815.47</v>
      </c>
    </row>
    <row r="7" spans="1:46" x14ac:dyDescent="0.25">
      <c r="A7" t="s">
        <v>81</v>
      </c>
      <c r="B7">
        <v>9999.99</v>
      </c>
      <c r="C7" t="s">
        <v>4</v>
      </c>
      <c r="D7" t="s">
        <v>8</v>
      </c>
      <c r="E7">
        <f t="shared" si="0"/>
        <v>26</v>
      </c>
      <c r="F7">
        <v>155.22999999999999</v>
      </c>
      <c r="G7">
        <v>28.32</v>
      </c>
      <c r="H7">
        <v>300</v>
      </c>
      <c r="I7">
        <f t="shared" si="6"/>
        <v>247427.44</v>
      </c>
      <c r="J7">
        <f t="shared" si="1"/>
        <v>340.52</v>
      </c>
      <c r="K7">
        <f t="shared" si="2"/>
        <v>137.99</v>
      </c>
      <c r="L7">
        <f t="shared" si="7"/>
        <v>16.420000000000002</v>
      </c>
      <c r="M7" s="3">
        <v>0.12</v>
      </c>
      <c r="N7">
        <f t="shared" si="8"/>
        <v>1200</v>
      </c>
      <c r="O7">
        <f t="shared" si="9"/>
        <v>8316.44</v>
      </c>
      <c r="P7">
        <f t="shared" si="10"/>
        <v>216227.44</v>
      </c>
      <c r="Q7">
        <v>0</v>
      </c>
      <c r="R7">
        <v>0</v>
      </c>
      <c r="S7">
        <f t="shared" si="3"/>
        <v>12900</v>
      </c>
      <c r="T7">
        <f t="shared" si="11"/>
        <v>203327.44</v>
      </c>
      <c r="U7">
        <f t="shared" ca="1" si="12"/>
        <v>5</v>
      </c>
      <c r="V7">
        <f t="shared" ca="1" si="4"/>
        <v>1304.33</v>
      </c>
      <c r="W7">
        <v>1500</v>
      </c>
      <c r="X7">
        <v>100</v>
      </c>
      <c r="Y7">
        <f t="shared" ca="1" si="13"/>
        <v>1346.64</v>
      </c>
      <c r="Z7" t="s">
        <v>56</v>
      </c>
      <c r="AA7">
        <f t="shared" si="14"/>
        <v>216227.44</v>
      </c>
      <c r="AB7">
        <f t="shared" ca="1" si="15"/>
        <v>0</v>
      </c>
      <c r="AC7">
        <f t="shared" ca="1" si="16"/>
        <v>216227.44</v>
      </c>
      <c r="AD7">
        <f t="shared" ca="1" si="17"/>
        <v>2</v>
      </c>
      <c r="AE7">
        <f t="shared" ca="1" si="5"/>
        <v>0</v>
      </c>
      <c r="AF7">
        <f t="shared" ca="1" si="18"/>
        <v>0</v>
      </c>
      <c r="AG7">
        <f t="shared" ca="1" si="19"/>
        <v>0</v>
      </c>
      <c r="AH7">
        <f t="shared" ca="1" si="20"/>
        <v>0</v>
      </c>
      <c r="AI7">
        <f t="shared" ca="1" si="21"/>
        <v>0</v>
      </c>
      <c r="AJ7">
        <f t="shared" ca="1" si="22"/>
        <v>0</v>
      </c>
      <c r="AK7">
        <f t="shared" ca="1" si="23"/>
        <v>0</v>
      </c>
      <c r="AN7">
        <f t="shared" ca="1" si="24"/>
        <v>0</v>
      </c>
      <c r="AO7">
        <f t="shared" si="25"/>
        <v>247427.44</v>
      </c>
      <c r="AP7">
        <f t="shared" si="26"/>
        <v>27.46</v>
      </c>
      <c r="AQ7">
        <f t="shared" ca="1" si="27"/>
        <v>6447.41</v>
      </c>
    </row>
    <row r="8" spans="1:46" x14ac:dyDescent="0.25">
      <c r="E8" t="str">
        <f t="shared" si="0"/>
        <v/>
      </c>
      <c r="I8" t="str">
        <f t="shared" si="6"/>
        <v/>
      </c>
      <c r="J8" t="str">
        <f t="shared" si="1"/>
        <v/>
      </c>
      <c r="K8" t="str">
        <f t="shared" si="2"/>
        <v/>
      </c>
      <c r="L8" t="str">
        <f t="shared" si="7"/>
        <v/>
      </c>
      <c r="N8" t="str">
        <f t="shared" si="8"/>
        <v/>
      </c>
      <c r="O8" t="str">
        <f t="shared" si="9"/>
        <v/>
      </c>
      <c r="P8" t="str">
        <f t="shared" si="10"/>
        <v/>
      </c>
      <c r="S8" t="str">
        <f t="shared" si="3"/>
        <v/>
      </c>
      <c r="T8" t="str">
        <f t="shared" si="11"/>
        <v/>
      </c>
      <c r="U8" t="str">
        <f t="shared" ca="1" si="12"/>
        <v/>
      </c>
      <c r="V8" t="str">
        <f t="shared" ca="1" si="4"/>
        <v/>
      </c>
      <c r="Y8" t="str">
        <f t="shared" ca="1" si="13"/>
        <v/>
      </c>
      <c r="AA8" t="str">
        <f t="shared" si="14"/>
        <v/>
      </c>
      <c r="AB8" t="str">
        <f t="shared" ca="1" si="15"/>
        <v/>
      </c>
      <c r="AC8" t="str">
        <f t="shared" ca="1" si="16"/>
        <v/>
      </c>
      <c r="AD8" t="str">
        <f t="shared" ca="1" si="17"/>
        <v/>
      </c>
      <c r="AE8" t="str">
        <f t="shared" ca="1" si="5"/>
        <v/>
      </c>
      <c r="AF8" t="str">
        <f t="shared" ca="1" si="18"/>
        <v/>
      </c>
      <c r="AG8" t="str">
        <f t="shared" ca="1" si="19"/>
        <v/>
      </c>
      <c r="AH8" t="str">
        <f t="shared" ca="1" si="20"/>
        <v/>
      </c>
      <c r="AI8" t="str">
        <f t="shared" ca="1" si="21"/>
        <v/>
      </c>
      <c r="AJ8" t="str">
        <f t="shared" ca="1" si="22"/>
        <v/>
      </c>
      <c r="AK8" t="str">
        <f t="shared" ca="1" si="23"/>
        <v/>
      </c>
      <c r="AN8" t="str">
        <f t="shared" ca="1" si="24"/>
        <v/>
      </c>
      <c r="AO8" t="str">
        <f t="shared" si="25"/>
        <v/>
      </c>
      <c r="AP8" t="str">
        <f t="shared" si="26"/>
        <v/>
      </c>
      <c r="AQ8" t="str">
        <f t="shared" ca="1" si="27"/>
        <v/>
      </c>
    </row>
    <row r="9" spans="1:46" x14ac:dyDescent="0.25">
      <c r="E9" t="str">
        <f t="shared" si="0"/>
        <v/>
      </c>
      <c r="I9" t="str">
        <f t="shared" si="6"/>
        <v/>
      </c>
      <c r="J9" t="str">
        <f t="shared" si="1"/>
        <v/>
      </c>
      <c r="K9" t="str">
        <f t="shared" si="2"/>
        <v/>
      </c>
      <c r="L9" t="str">
        <f t="shared" si="7"/>
        <v/>
      </c>
      <c r="N9" t="str">
        <f t="shared" si="8"/>
        <v/>
      </c>
      <c r="O9" t="str">
        <f t="shared" si="9"/>
        <v/>
      </c>
      <c r="P9" t="str">
        <f t="shared" si="10"/>
        <v/>
      </c>
      <c r="S9" t="str">
        <f t="shared" si="3"/>
        <v/>
      </c>
      <c r="T9" t="str">
        <f t="shared" si="11"/>
        <v/>
      </c>
      <c r="U9" t="str">
        <f t="shared" ca="1" si="12"/>
        <v/>
      </c>
      <c r="V9" t="str">
        <f t="shared" ca="1" si="4"/>
        <v/>
      </c>
      <c r="Y9" t="str">
        <f t="shared" ca="1" si="13"/>
        <v/>
      </c>
      <c r="AA9" t="str">
        <f t="shared" si="14"/>
        <v/>
      </c>
      <c r="AB9" t="str">
        <f t="shared" ca="1" si="15"/>
        <v/>
      </c>
      <c r="AC9" t="str">
        <f t="shared" ca="1" si="16"/>
        <v/>
      </c>
      <c r="AD9" t="str">
        <f t="shared" ca="1" si="17"/>
        <v/>
      </c>
      <c r="AE9" t="str">
        <f t="shared" ca="1" si="5"/>
        <v/>
      </c>
      <c r="AF9" t="str">
        <f t="shared" ca="1" si="18"/>
        <v/>
      </c>
      <c r="AG9" t="str">
        <f t="shared" ca="1" si="19"/>
        <v/>
      </c>
      <c r="AH9" t="str">
        <f t="shared" ca="1" si="20"/>
        <v/>
      </c>
      <c r="AI9" t="str">
        <f t="shared" ca="1" si="21"/>
        <v/>
      </c>
      <c r="AJ9" t="str">
        <f t="shared" ca="1" si="22"/>
        <v/>
      </c>
      <c r="AK9" t="str">
        <f t="shared" ca="1" si="23"/>
        <v/>
      </c>
      <c r="AN9" t="str">
        <f t="shared" ca="1" si="24"/>
        <v/>
      </c>
      <c r="AO9" t="str">
        <f t="shared" si="25"/>
        <v/>
      </c>
      <c r="AP9" t="str">
        <f t="shared" si="26"/>
        <v/>
      </c>
      <c r="AQ9" t="str">
        <f t="shared" ca="1" si="27"/>
        <v/>
      </c>
    </row>
    <row r="10" spans="1:46" x14ac:dyDescent="0.25">
      <c r="B10" s="4"/>
      <c r="E10" t="str">
        <f t="shared" si="0"/>
        <v/>
      </c>
      <c r="I10" t="str">
        <f t="shared" si="6"/>
        <v/>
      </c>
      <c r="J10" t="str">
        <f t="shared" si="1"/>
        <v/>
      </c>
      <c r="K10" t="str">
        <f t="shared" si="2"/>
        <v/>
      </c>
      <c r="L10" t="str">
        <f t="shared" si="7"/>
        <v/>
      </c>
      <c r="N10" t="str">
        <f t="shared" si="8"/>
        <v/>
      </c>
      <c r="O10" t="str">
        <f t="shared" si="9"/>
        <v/>
      </c>
      <c r="P10" t="str">
        <f t="shared" si="10"/>
        <v/>
      </c>
      <c r="S10" t="str">
        <f t="shared" si="3"/>
        <v/>
      </c>
      <c r="T10" t="str">
        <f t="shared" si="11"/>
        <v/>
      </c>
      <c r="U10" t="str">
        <f t="shared" ca="1" si="12"/>
        <v/>
      </c>
      <c r="V10" t="str">
        <f t="shared" ca="1" si="4"/>
        <v/>
      </c>
      <c r="Y10" t="str">
        <f t="shared" ca="1" si="13"/>
        <v/>
      </c>
      <c r="AA10" t="str">
        <f t="shared" si="14"/>
        <v/>
      </c>
      <c r="AB10" t="str">
        <f t="shared" ca="1" si="15"/>
        <v/>
      </c>
      <c r="AC10" t="str">
        <f t="shared" ca="1" si="16"/>
        <v/>
      </c>
      <c r="AD10" t="str">
        <f t="shared" ca="1" si="17"/>
        <v/>
      </c>
      <c r="AE10" t="str">
        <f t="shared" ca="1" si="5"/>
        <v/>
      </c>
      <c r="AF10" t="str">
        <f t="shared" ca="1" si="18"/>
        <v/>
      </c>
      <c r="AG10" t="str">
        <f t="shared" ca="1" si="19"/>
        <v/>
      </c>
      <c r="AH10" t="str">
        <f t="shared" ca="1" si="20"/>
        <v/>
      </c>
      <c r="AI10" t="str">
        <f t="shared" ca="1" si="21"/>
        <v/>
      </c>
      <c r="AJ10" t="str">
        <f t="shared" ca="1" si="22"/>
        <v/>
      </c>
      <c r="AK10" t="str">
        <f t="shared" ca="1" si="23"/>
        <v/>
      </c>
      <c r="AN10" t="str">
        <f t="shared" ca="1" si="24"/>
        <v/>
      </c>
      <c r="AO10" t="str">
        <f t="shared" si="25"/>
        <v/>
      </c>
      <c r="AP10" t="str">
        <f t="shared" si="26"/>
        <v/>
      </c>
      <c r="AQ10" t="str">
        <f t="shared" ca="1" si="27"/>
        <v/>
      </c>
    </row>
    <row r="11" spans="1:46" x14ac:dyDescent="0.25">
      <c r="E11" t="str">
        <f t="shared" si="0"/>
        <v/>
      </c>
      <c r="I11" t="str">
        <f t="shared" si="6"/>
        <v/>
      </c>
      <c r="J11" t="str">
        <f t="shared" si="1"/>
        <v/>
      </c>
      <c r="K11" t="str">
        <f t="shared" si="2"/>
        <v/>
      </c>
      <c r="L11" t="str">
        <f t="shared" si="7"/>
        <v/>
      </c>
      <c r="N11" t="str">
        <f t="shared" si="8"/>
        <v/>
      </c>
      <c r="O11" t="str">
        <f t="shared" si="9"/>
        <v/>
      </c>
      <c r="P11" t="str">
        <f t="shared" si="10"/>
        <v/>
      </c>
      <c r="S11" t="str">
        <f t="shared" si="3"/>
        <v/>
      </c>
      <c r="T11" t="str">
        <f t="shared" si="11"/>
        <v/>
      </c>
      <c r="U11" t="str">
        <f t="shared" ca="1" si="12"/>
        <v/>
      </c>
      <c r="V11" t="str">
        <f t="shared" ca="1" si="4"/>
        <v/>
      </c>
      <c r="Y11" t="str">
        <f t="shared" ca="1" si="13"/>
        <v/>
      </c>
      <c r="AA11" t="str">
        <f t="shared" si="14"/>
        <v/>
      </c>
      <c r="AB11" t="str">
        <f t="shared" ca="1" si="15"/>
        <v/>
      </c>
      <c r="AC11" t="str">
        <f t="shared" ca="1" si="16"/>
        <v/>
      </c>
      <c r="AD11" t="str">
        <f t="shared" ca="1" si="17"/>
        <v/>
      </c>
      <c r="AE11" t="str">
        <f t="shared" ca="1" si="5"/>
        <v/>
      </c>
      <c r="AF11" t="str">
        <f t="shared" ca="1" si="18"/>
        <v/>
      </c>
      <c r="AG11" t="str">
        <f t="shared" ca="1" si="19"/>
        <v/>
      </c>
      <c r="AH11" t="str">
        <f t="shared" ca="1" si="20"/>
        <v/>
      </c>
      <c r="AI11" t="str">
        <f t="shared" ca="1" si="21"/>
        <v/>
      </c>
      <c r="AJ11" t="str">
        <f t="shared" ca="1" si="22"/>
        <v/>
      </c>
      <c r="AK11" t="str">
        <f t="shared" ca="1" si="23"/>
        <v/>
      </c>
      <c r="AN11" t="str">
        <f t="shared" ca="1" si="24"/>
        <v/>
      </c>
      <c r="AO11" t="str">
        <f t="shared" si="25"/>
        <v/>
      </c>
      <c r="AP11" t="str">
        <f t="shared" si="26"/>
        <v/>
      </c>
      <c r="AQ11" t="str">
        <f t="shared" ca="1" si="27"/>
        <v/>
      </c>
    </row>
    <row r="12" spans="1:46" x14ac:dyDescent="0.25">
      <c r="E12" t="str">
        <f t="shared" si="0"/>
        <v/>
      </c>
      <c r="I12" t="str">
        <f t="shared" si="6"/>
        <v/>
      </c>
      <c r="J12" t="str">
        <f t="shared" si="1"/>
        <v/>
      </c>
      <c r="K12" t="str">
        <f t="shared" si="2"/>
        <v/>
      </c>
      <c r="L12" t="str">
        <f t="shared" si="7"/>
        <v/>
      </c>
      <c r="N12" t="str">
        <f t="shared" si="8"/>
        <v/>
      </c>
      <c r="O12" t="str">
        <f t="shared" si="9"/>
        <v/>
      </c>
      <c r="P12" t="str">
        <f t="shared" si="10"/>
        <v/>
      </c>
      <c r="S12" t="str">
        <f t="shared" si="3"/>
        <v/>
      </c>
      <c r="T12" t="str">
        <f t="shared" si="11"/>
        <v/>
      </c>
      <c r="U12" t="str">
        <f t="shared" ca="1" si="12"/>
        <v/>
      </c>
      <c r="V12" t="str">
        <f t="shared" ca="1" si="4"/>
        <v/>
      </c>
      <c r="Y12" t="str">
        <f t="shared" ca="1" si="13"/>
        <v/>
      </c>
      <c r="AA12" t="str">
        <f t="shared" si="14"/>
        <v/>
      </c>
      <c r="AB12" t="str">
        <f t="shared" ca="1" si="15"/>
        <v/>
      </c>
      <c r="AC12" t="str">
        <f t="shared" ca="1" si="16"/>
        <v/>
      </c>
      <c r="AD12" t="str">
        <f t="shared" ca="1" si="17"/>
        <v/>
      </c>
      <c r="AE12" t="str">
        <f t="shared" ca="1" si="5"/>
        <v/>
      </c>
      <c r="AF12" t="str">
        <f t="shared" ca="1" si="18"/>
        <v/>
      </c>
      <c r="AG12" t="str">
        <f t="shared" ca="1" si="19"/>
        <v/>
      </c>
      <c r="AH12" t="str">
        <f t="shared" ca="1" si="20"/>
        <v/>
      </c>
      <c r="AI12" t="str">
        <f t="shared" ca="1" si="21"/>
        <v/>
      </c>
      <c r="AJ12" t="str">
        <f t="shared" ca="1" si="22"/>
        <v/>
      </c>
      <c r="AK12" t="str">
        <f t="shared" ca="1" si="23"/>
        <v/>
      </c>
      <c r="AN12" t="str">
        <f t="shared" ca="1" si="24"/>
        <v/>
      </c>
      <c r="AO12" t="str">
        <f t="shared" si="25"/>
        <v/>
      </c>
      <c r="AP12" t="str">
        <f t="shared" si="26"/>
        <v/>
      </c>
      <c r="AQ12" t="str">
        <f t="shared" ca="1" si="27"/>
        <v/>
      </c>
    </row>
    <row r="13" spans="1:46" x14ac:dyDescent="0.25">
      <c r="E13" t="str">
        <f t="shared" si="0"/>
        <v/>
      </c>
      <c r="I13" t="str">
        <f t="shared" si="6"/>
        <v/>
      </c>
      <c r="J13" t="str">
        <f t="shared" si="1"/>
        <v/>
      </c>
      <c r="K13" t="str">
        <f t="shared" si="2"/>
        <v/>
      </c>
      <c r="L13" t="str">
        <f t="shared" si="7"/>
        <v/>
      </c>
      <c r="N13" t="str">
        <f t="shared" si="8"/>
        <v/>
      </c>
      <c r="O13" t="str">
        <f t="shared" si="9"/>
        <v/>
      </c>
      <c r="P13" t="str">
        <f t="shared" si="10"/>
        <v/>
      </c>
      <c r="S13" t="str">
        <f t="shared" si="3"/>
        <v/>
      </c>
      <c r="T13" t="str">
        <f t="shared" si="11"/>
        <v/>
      </c>
      <c r="U13" t="str">
        <f t="shared" ca="1" si="12"/>
        <v/>
      </c>
      <c r="V13" t="str">
        <f t="shared" ca="1" si="4"/>
        <v/>
      </c>
      <c r="Y13" t="str">
        <f t="shared" ca="1" si="13"/>
        <v/>
      </c>
      <c r="AA13" t="str">
        <f t="shared" si="14"/>
        <v/>
      </c>
      <c r="AB13" t="str">
        <f t="shared" ca="1" si="15"/>
        <v/>
      </c>
      <c r="AC13" t="str">
        <f t="shared" ca="1" si="16"/>
        <v/>
      </c>
      <c r="AD13" t="str">
        <f t="shared" ca="1" si="17"/>
        <v/>
      </c>
      <c r="AE13" t="str">
        <f t="shared" ca="1" si="5"/>
        <v/>
      </c>
      <c r="AF13" t="str">
        <f t="shared" ca="1" si="18"/>
        <v/>
      </c>
      <c r="AG13" t="str">
        <f t="shared" ca="1" si="19"/>
        <v/>
      </c>
      <c r="AH13" t="str">
        <f t="shared" ca="1" si="20"/>
        <v/>
      </c>
      <c r="AI13" t="str">
        <f t="shared" ca="1" si="21"/>
        <v/>
      </c>
      <c r="AJ13" t="str">
        <f t="shared" ca="1" si="22"/>
        <v/>
      </c>
      <c r="AK13" t="str">
        <f t="shared" ca="1" si="23"/>
        <v/>
      </c>
      <c r="AN13" t="str">
        <f t="shared" ca="1" si="24"/>
        <v/>
      </c>
      <c r="AO13" t="str">
        <f t="shared" si="25"/>
        <v/>
      </c>
      <c r="AP13" t="str">
        <f t="shared" si="26"/>
        <v/>
      </c>
      <c r="AQ13" t="str">
        <f t="shared" ca="1" si="27"/>
        <v/>
      </c>
    </row>
    <row r="14" spans="1:46" x14ac:dyDescent="0.25">
      <c r="E14" t="str">
        <f t="shared" si="0"/>
        <v/>
      </c>
      <c r="I14" t="str">
        <f t="shared" si="6"/>
        <v/>
      </c>
      <c r="J14" t="str">
        <f t="shared" si="1"/>
        <v/>
      </c>
      <c r="K14" t="str">
        <f t="shared" si="2"/>
        <v/>
      </c>
      <c r="L14" t="str">
        <f t="shared" si="7"/>
        <v/>
      </c>
      <c r="N14" t="str">
        <f t="shared" si="8"/>
        <v/>
      </c>
      <c r="O14" t="str">
        <f t="shared" si="9"/>
        <v/>
      </c>
      <c r="P14" t="str">
        <f t="shared" si="10"/>
        <v/>
      </c>
      <c r="S14" t="str">
        <f t="shared" si="3"/>
        <v/>
      </c>
      <c r="T14" t="str">
        <f t="shared" si="11"/>
        <v/>
      </c>
      <c r="U14" t="str">
        <f t="shared" ca="1" si="12"/>
        <v/>
      </c>
      <c r="V14" t="str">
        <f t="shared" ca="1" si="4"/>
        <v/>
      </c>
      <c r="Y14" t="str">
        <f t="shared" ca="1" si="13"/>
        <v/>
      </c>
      <c r="AA14" t="str">
        <f t="shared" si="14"/>
        <v/>
      </c>
      <c r="AB14" t="str">
        <f t="shared" ca="1" si="15"/>
        <v/>
      </c>
      <c r="AC14" t="str">
        <f t="shared" ca="1" si="16"/>
        <v/>
      </c>
      <c r="AD14" t="str">
        <f t="shared" ca="1" si="17"/>
        <v/>
      </c>
      <c r="AE14" t="str">
        <f t="shared" ca="1" si="5"/>
        <v/>
      </c>
      <c r="AF14" t="str">
        <f t="shared" ca="1" si="18"/>
        <v/>
      </c>
      <c r="AG14" t="str">
        <f t="shared" ca="1" si="19"/>
        <v/>
      </c>
      <c r="AH14" t="str">
        <f t="shared" ca="1" si="20"/>
        <v/>
      </c>
      <c r="AI14" t="str">
        <f t="shared" ca="1" si="21"/>
        <v/>
      </c>
      <c r="AJ14" t="str">
        <f t="shared" ca="1" si="22"/>
        <v/>
      </c>
      <c r="AK14" t="str">
        <f t="shared" ca="1" si="23"/>
        <v/>
      </c>
      <c r="AN14" t="str">
        <f t="shared" ca="1" si="24"/>
        <v/>
      </c>
      <c r="AO14" t="str">
        <f t="shared" si="25"/>
        <v/>
      </c>
      <c r="AP14" t="str">
        <f t="shared" si="26"/>
        <v/>
      </c>
      <c r="AQ14" t="str">
        <f t="shared" ca="1" si="27"/>
        <v/>
      </c>
    </row>
    <row r="15" spans="1:46" x14ac:dyDescent="0.25">
      <c r="E15" t="str">
        <f t="shared" si="0"/>
        <v/>
      </c>
      <c r="I15" t="str">
        <f t="shared" si="6"/>
        <v/>
      </c>
      <c r="J15" t="str">
        <f t="shared" si="1"/>
        <v/>
      </c>
      <c r="K15" t="str">
        <f t="shared" si="2"/>
        <v/>
      </c>
      <c r="L15" t="str">
        <f t="shared" si="7"/>
        <v/>
      </c>
      <c r="N15" t="str">
        <f t="shared" si="8"/>
        <v/>
      </c>
      <c r="O15" t="str">
        <f t="shared" si="9"/>
        <v/>
      </c>
      <c r="P15" t="str">
        <f t="shared" si="10"/>
        <v/>
      </c>
      <c r="S15" t="str">
        <f t="shared" si="3"/>
        <v/>
      </c>
      <c r="T15" t="str">
        <f t="shared" si="11"/>
        <v/>
      </c>
      <c r="U15" t="str">
        <f t="shared" ca="1" si="12"/>
        <v/>
      </c>
      <c r="V15" t="str">
        <f t="shared" ca="1" si="4"/>
        <v/>
      </c>
      <c r="Y15" t="str">
        <f t="shared" ca="1" si="13"/>
        <v/>
      </c>
      <c r="AA15" t="str">
        <f t="shared" si="14"/>
        <v/>
      </c>
      <c r="AB15" t="str">
        <f t="shared" ca="1" si="15"/>
        <v/>
      </c>
      <c r="AC15" t="str">
        <f t="shared" ca="1" si="16"/>
        <v/>
      </c>
      <c r="AD15" t="str">
        <f t="shared" ca="1" si="17"/>
        <v/>
      </c>
      <c r="AE15" t="str">
        <f t="shared" ca="1" si="5"/>
        <v/>
      </c>
      <c r="AF15" t="str">
        <f t="shared" ca="1" si="18"/>
        <v/>
      </c>
      <c r="AG15" t="str">
        <f t="shared" ca="1" si="19"/>
        <v/>
      </c>
      <c r="AH15" t="str">
        <f t="shared" ca="1" si="20"/>
        <v/>
      </c>
      <c r="AI15" t="str">
        <f t="shared" ca="1" si="21"/>
        <v/>
      </c>
      <c r="AJ15" t="str">
        <f t="shared" ca="1" si="22"/>
        <v/>
      </c>
      <c r="AK15" t="str">
        <f t="shared" ca="1" si="23"/>
        <v/>
      </c>
      <c r="AN15" t="str">
        <f t="shared" ca="1" si="24"/>
        <v/>
      </c>
      <c r="AO15" t="str">
        <f t="shared" si="25"/>
        <v/>
      </c>
      <c r="AP15" t="str">
        <f t="shared" si="26"/>
        <v/>
      </c>
      <c r="AQ15" t="str">
        <f t="shared" ca="1" si="27"/>
        <v/>
      </c>
    </row>
    <row r="16" spans="1:46" x14ac:dyDescent="0.25">
      <c r="E16" t="str">
        <f t="shared" si="0"/>
        <v/>
      </c>
      <c r="I16" t="str">
        <f t="shared" si="6"/>
        <v/>
      </c>
      <c r="J16" t="str">
        <f t="shared" si="1"/>
        <v/>
      </c>
      <c r="K16" t="str">
        <f t="shared" si="2"/>
        <v/>
      </c>
      <c r="L16" t="str">
        <f t="shared" si="7"/>
        <v/>
      </c>
      <c r="N16" t="str">
        <f t="shared" si="8"/>
        <v/>
      </c>
      <c r="O16" t="str">
        <f t="shared" si="9"/>
        <v/>
      </c>
      <c r="P16" t="str">
        <f t="shared" si="10"/>
        <v/>
      </c>
      <c r="S16" t="str">
        <f t="shared" si="3"/>
        <v/>
      </c>
      <c r="T16" t="str">
        <f t="shared" si="11"/>
        <v/>
      </c>
      <c r="U16" t="str">
        <f t="shared" ca="1" si="12"/>
        <v/>
      </c>
      <c r="V16" t="str">
        <f t="shared" ca="1" si="4"/>
        <v/>
      </c>
      <c r="Y16" t="str">
        <f t="shared" ca="1" si="13"/>
        <v/>
      </c>
      <c r="AA16" t="str">
        <f t="shared" si="14"/>
        <v/>
      </c>
      <c r="AB16" t="str">
        <f t="shared" ca="1" si="15"/>
        <v/>
      </c>
      <c r="AC16" t="str">
        <f t="shared" ca="1" si="16"/>
        <v/>
      </c>
      <c r="AD16" t="str">
        <f t="shared" ca="1" si="17"/>
        <v/>
      </c>
      <c r="AE16" t="str">
        <f t="shared" ca="1" si="5"/>
        <v/>
      </c>
      <c r="AF16" t="str">
        <f t="shared" ca="1" si="18"/>
        <v/>
      </c>
      <c r="AG16" t="str">
        <f t="shared" ca="1" si="19"/>
        <v/>
      </c>
      <c r="AH16" t="str">
        <f t="shared" ca="1" si="20"/>
        <v/>
      </c>
      <c r="AI16" t="str">
        <f t="shared" ca="1" si="21"/>
        <v/>
      </c>
      <c r="AJ16" t="str">
        <f t="shared" ca="1" si="22"/>
        <v/>
      </c>
      <c r="AK16" t="str">
        <f t="shared" ca="1" si="23"/>
        <v/>
      </c>
      <c r="AN16" t="str">
        <f t="shared" ca="1" si="24"/>
        <v/>
      </c>
      <c r="AO16" t="str">
        <f t="shared" si="25"/>
        <v/>
      </c>
      <c r="AP16" t="str">
        <f t="shared" si="26"/>
        <v/>
      </c>
      <c r="AQ16" t="str">
        <f t="shared" ca="1" si="27"/>
        <v/>
      </c>
    </row>
    <row r="17" spans="5:43" x14ac:dyDescent="0.25">
      <c r="E17" t="str">
        <f t="shared" si="0"/>
        <v/>
      </c>
      <c r="I17" t="str">
        <f t="shared" si="6"/>
        <v/>
      </c>
      <c r="J17" t="str">
        <f t="shared" si="1"/>
        <v/>
      </c>
      <c r="K17" t="str">
        <f t="shared" si="2"/>
        <v/>
      </c>
      <c r="L17" t="str">
        <f t="shared" si="7"/>
        <v/>
      </c>
      <c r="N17" t="str">
        <f t="shared" si="8"/>
        <v/>
      </c>
      <c r="O17" t="str">
        <f t="shared" si="9"/>
        <v/>
      </c>
      <c r="P17" t="str">
        <f t="shared" si="10"/>
        <v/>
      </c>
      <c r="S17" t="str">
        <f t="shared" si="3"/>
        <v/>
      </c>
      <c r="T17" t="str">
        <f t="shared" si="11"/>
        <v/>
      </c>
      <c r="U17" t="str">
        <f t="shared" ca="1" si="12"/>
        <v/>
      </c>
      <c r="V17" t="str">
        <f t="shared" ca="1" si="4"/>
        <v/>
      </c>
      <c r="Y17" t="str">
        <f t="shared" ca="1" si="13"/>
        <v/>
      </c>
      <c r="AA17" t="str">
        <f t="shared" si="14"/>
        <v/>
      </c>
      <c r="AB17" t="str">
        <f t="shared" ca="1" si="15"/>
        <v/>
      </c>
      <c r="AC17" t="str">
        <f t="shared" ca="1" si="16"/>
        <v/>
      </c>
      <c r="AD17" t="str">
        <f t="shared" ca="1" si="17"/>
        <v/>
      </c>
      <c r="AE17" t="str">
        <f t="shared" ca="1" si="5"/>
        <v/>
      </c>
      <c r="AF17" t="str">
        <f t="shared" ca="1" si="18"/>
        <v/>
      </c>
      <c r="AG17" t="str">
        <f t="shared" ca="1" si="19"/>
        <v/>
      </c>
      <c r="AH17" t="str">
        <f t="shared" ca="1" si="20"/>
        <v/>
      </c>
      <c r="AI17" t="str">
        <f t="shared" ca="1" si="21"/>
        <v/>
      </c>
      <c r="AJ17" t="str">
        <f t="shared" ca="1" si="22"/>
        <v/>
      </c>
      <c r="AK17" t="str">
        <f t="shared" ca="1" si="23"/>
        <v/>
      </c>
      <c r="AN17" t="str">
        <f t="shared" ca="1" si="24"/>
        <v/>
      </c>
      <c r="AO17" t="str">
        <f t="shared" si="25"/>
        <v/>
      </c>
      <c r="AP17" t="str">
        <f t="shared" si="26"/>
        <v/>
      </c>
      <c r="AQ17" t="str">
        <f t="shared" ca="1" si="27"/>
        <v/>
      </c>
    </row>
    <row r="18" spans="5:43" x14ac:dyDescent="0.25">
      <c r="E18" t="str">
        <f t="shared" si="0"/>
        <v/>
      </c>
      <c r="I18" t="str">
        <f t="shared" si="6"/>
        <v/>
      </c>
      <c r="J18" t="str">
        <f t="shared" si="1"/>
        <v/>
      </c>
      <c r="K18" t="str">
        <f t="shared" si="2"/>
        <v/>
      </c>
      <c r="L18" t="str">
        <f t="shared" si="7"/>
        <v/>
      </c>
      <c r="N18" t="str">
        <f t="shared" si="8"/>
        <v/>
      </c>
      <c r="O18" t="str">
        <f t="shared" si="9"/>
        <v/>
      </c>
      <c r="P18" t="str">
        <f t="shared" si="10"/>
        <v/>
      </c>
      <c r="S18" t="str">
        <f t="shared" si="3"/>
        <v/>
      </c>
      <c r="T18" t="str">
        <f t="shared" si="11"/>
        <v/>
      </c>
      <c r="U18" t="str">
        <f t="shared" ca="1" si="12"/>
        <v/>
      </c>
      <c r="V18" t="str">
        <f t="shared" ca="1" si="4"/>
        <v/>
      </c>
      <c r="Y18" t="str">
        <f t="shared" ca="1" si="13"/>
        <v/>
      </c>
      <c r="AA18" t="str">
        <f t="shared" si="14"/>
        <v/>
      </c>
      <c r="AB18" t="str">
        <f t="shared" ca="1" si="15"/>
        <v/>
      </c>
      <c r="AC18" t="str">
        <f t="shared" ca="1" si="16"/>
        <v/>
      </c>
      <c r="AD18" t="str">
        <f t="shared" ca="1" si="17"/>
        <v/>
      </c>
      <c r="AE18" t="str">
        <f t="shared" ca="1" si="5"/>
        <v/>
      </c>
      <c r="AF18" t="str">
        <f t="shared" ca="1" si="18"/>
        <v/>
      </c>
      <c r="AG18" t="str">
        <f t="shared" ca="1" si="19"/>
        <v/>
      </c>
      <c r="AH18" t="str">
        <f t="shared" ca="1" si="20"/>
        <v/>
      </c>
      <c r="AI18" t="str">
        <f t="shared" ca="1" si="21"/>
        <v/>
      </c>
      <c r="AJ18" t="str">
        <f t="shared" ca="1" si="22"/>
        <v/>
      </c>
      <c r="AK18" t="str">
        <f t="shared" ca="1" si="23"/>
        <v/>
      </c>
      <c r="AN18" t="str">
        <f t="shared" ca="1" si="24"/>
        <v/>
      </c>
      <c r="AO18" t="str">
        <f t="shared" si="25"/>
        <v/>
      </c>
      <c r="AP18" t="str">
        <f t="shared" si="26"/>
        <v/>
      </c>
      <c r="AQ18" t="str">
        <f t="shared" ca="1" si="27"/>
        <v/>
      </c>
    </row>
    <row r="19" spans="5:43" x14ac:dyDescent="0.25">
      <c r="E19" t="str">
        <f t="shared" si="0"/>
        <v/>
      </c>
      <c r="I19" t="str">
        <f t="shared" si="6"/>
        <v/>
      </c>
      <c r="J19" t="str">
        <f t="shared" si="1"/>
        <v/>
      </c>
      <c r="K19" t="str">
        <f t="shared" si="2"/>
        <v/>
      </c>
      <c r="L19" t="str">
        <f t="shared" si="7"/>
        <v/>
      </c>
      <c r="N19" t="str">
        <f t="shared" si="8"/>
        <v/>
      </c>
      <c r="O19" t="str">
        <f t="shared" si="9"/>
        <v/>
      </c>
      <c r="P19" t="str">
        <f t="shared" si="10"/>
        <v/>
      </c>
      <c r="S19" t="str">
        <f t="shared" si="3"/>
        <v/>
      </c>
      <c r="T19" t="str">
        <f t="shared" si="11"/>
        <v/>
      </c>
      <c r="U19" t="str">
        <f t="shared" ca="1" si="12"/>
        <v/>
      </c>
      <c r="V19" t="str">
        <f t="shared" ca="1" si="4"/>
        <v/>
      </c>
      <c r="Y19" t="str">
        <f t="shared" ca="1" si="13"/>
        <v/>
      </c>
      <c r="AA19" t="str">
        <f t="shared" si="14"/>
        <v/>
      </c>
      <c r="AB19" t="str">
        <f t="shared" ca="1" si="15"/>
        <v/>
      </c>
      <c r="AC19" t="str">
        <f t="shared" ca="1" si="16"/>
        <v/>
      </c>
      <c r="AD19" t="str">
        <f ca="1">IFERROR(MATCH(AC19, INDEX(INDIRECT("B_"&amp;Z19), 0, 1)), "")</f>
        <v/>
      </c>
      <c r="AE19" t="str">
        <f t="shared" ca="1" si="5"/>
        <v/>
      </c>
      <c r="AF19" t="str">
        <f t="shared" ca="1" si="18"/>
        <v/>
      </c>
      <c r="AG19" t="str">
        <f t="shared" ca="1" si="19"/>
        <v/>
      </c>
      <c r="AH19" t="str">
        <f t="shared" ca="1" si="20"/>
        <v/>
      </c>
      <c r="AI19" t="str">
        <f t="shared" ca="1" si="21"/>
        <v/>
      </c>
      <c r="AJ19" t="str">
        <f t="shared" ca="1" si="22"/>
        <v/>
      </c>
      <c r="AK19" t="str">
        <f t="shared" ca="1" si="23"/>
        <v/>
      </c>
      <c r="AN19" t="str">
        <f t="shared" ca="1" si="24"/>
        <v/>
      </c>
      <c r="AO19" t="str">
        <f t="shared" si="25"/>
        <v/>
      </c>
      <c r="AP19" t="str">
        <f t="shared" si="26"/>
        <v/>
      </c>
      <c r="AQ19" t="str">
        <f t="shared" ca="1" si="27"/>
        <v/>
      </c>
    </row>
    <row r="20" spans="5:43" x14ac:dyDescent="0.25">
      <c r="E20" t="str">
        <f t="shared" si="0"/>
        <v/>
      </c>
      <c r="I20" t="str">
        <f t="shared" si="6"/>
        <v/>
      </c>
      <c r="J20" t="str">
        <f t="shared" si="1"/>
        <v/>
      </c>
      <c r="K20" t="str">
        <f t="shared" si="2"/>
        <v/>
      </c>
      <c r="L20" t="str">
        <f t="shared" si="7"/>
        <v/>
      </c>
      <c r="N20" t="str">
        <f t="shared" si="8"/>
        <v/>
      </c>
      <c r="O20" t="str">
        <f t="shared" si="9"/>
        <v/>
      </c>
      <c r="P20" t="str">
        <f t="shared" si="10"/>
        <v/>
      </c>
      <c r="S20" t="str">
        <f t="shared" si="3"/>
        <v/>
      </c>
      <c r="T20" t="str">
        <f t="shared" si="11"/>
        <v/>
      </c>
      <c r="U20" t="str">
        <f t="shared" ca="1" si="12"/>
        <v/>
      </c>
      <c r="V20" t="str">
        <f t="shared" ca="1" si="4"/>
        <v/>
      </c>
      <c r="Y20" t="str">
        <f t="shared" ca="1" si="13"/>
        <v/>
      </c>
      <c r="AA20" t="str">
        <f t="shared" si="14"/>
        <v/>
      </c>
      <c r="AB20" t="str">
        <f t="shared" ca="1" si="15"/>
        <v/>
      </c>
      <c r="AC20" t="str">
        <f t="shared" ca="1" si="16"/>
        <v/>
      </c>
      <c r="AD20" t="str">
        <f ca="1">IFERROR(MATCH(AC20, INDEX(INDIRECT("B_"&amp;Z20), 0, 1)), "")</f>
        <v/>
      </c>
      <c r="AE20" t="str">
        <f t="shared" ca="1" si="5"/>
        <v/>
      </c>
      <c r="AF20" t="str">
        <f t="shared" ca="1" si="18"/>
        <v/>
      </c>
      <c r="AG20" t="str">
        <f t="shared" ca="1" si="19"/>
        <v/>
      </c>
      <c r="AH20" t="str">
        <f t="shared" ca="1" si="20"/>
        <v/>
      </c>
      <c r="AI20" t="str">
        <f t="shared" ca="1" si="21"/>
        <v/>
      </c>
      <c r="AJ20" t="str">
        <f t="shared" ca="1" si="22"/>
        <v/>
      </c>
      <c r="AK20" t="str">
        <f t="shared" ca="1" si="23"/>
        <v/>
      </c>
      <c r="AN20" t="str">
        <f t="shared" ca="1" si="24"/>
        <v/>
      </c>
      <c r="AO20" t="str">
        <f t="shared" si="25"/>
        <v/>
      </c>
      <c r="AP20" t="str">
        <f t="shared" si="26"/>
        <v/>
      </c>
      <c r="AQ20" t="str">
        <f t="shared" ca="1" si="27"/>
        <v/>
      </c>
    </row>
    <row r="21" spans="5:43" x14ac:dyDescent="0.25">
      <c r="AB21" t="str">
        <f t="shared" ca="1" si="15"/>
        <v/>
      </c>
      <c r="AC21" t="str">
        <f t="shared" ca="1" si="16"/>
        <v/>
      </c>
      <c r="AD21" t="str">
        <f t="shared" ca="1" si="17"/>
        <v/>
      </c>
    </row>
  </sheetData>
  <dataValidations count="3">
    <dataValidation type="list" allowBlank="1" showInputMessage="1" showErrorMessage="1" sqref="Z2:Z20">
      <formula1>CT_code</formula1>
    </dataValidation>
    <dataValidation type="list" allowBlank="1" showInputMessage="1" showErrorMessage="1" sqref="C2:C19">
      <formula1>INDEX(numPay, 0, 1)</formula1>
    </dataValidation>
    <dataValidation type="list" allowBlank="1" showInputMessage="1" showErrorMessage="1" sqref="D2:D20">
      <formula1>FilingStatus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A4" workbookViewId="0">
      <selection activeCell="A19" sqref="A19:A21"/>
    </sheetView>
  </sheetViews>
  <sheetFormatPr defaultRowHeight="15" x14ac:dyDescent="0.25"/>
  <cols>
    <col min="1" max="1" width="34.42578125" bestFit="1" customWidth="1"/>
    <col min="2" max="2" width="10.140625" customWidth="1"/>
    <col min="3" max="3" width="12.5703125" bestFit="1" customWidth="1"/>
    <col min="4" max="4" width="16.28515625" customWidth="1"/>
    <col min="5" max="5" width="17.28515625" customWidth="1"/>
  </cols>
  <sheetData>
    <row r="1" spans="1:7" x14ac:dyDescent="0.25">
      <c r="B1" s="17" t="s">
        <v>86</v>
      </c>
      <c r="C1" s="17"/>
      <c r="D1" s="17" t="s">
        <v>87</v>
      </c>
      <c r="E1" s="17"/>
      <c r="F1" s="18" t="s">
        <v>88</v>
      </c>
      <c r="G1" s="18"/>
    </row>
    <row r="2" spans="1:7" x14ac:dyDescent="0.25">
      <c r="A2" s="16" t="s">
        <v>82</v>
      </c>
      <c r="B2" s="5" t="s">
        <v>9</v>
      </c>
      <c r="C2" s="5" t="s">
        <v>10</v>
      </c>
      <c r="D2" s="2" t="s">
        <v>9</v>
      </c>
      <c r="E2" s="2" t="s">
        <v>10</v>
      </c>
      <c r="F2" t="s">
        <v>13</v>
      </c>
      <c r="G2" t="s">
        <v>10</v>
      </c>
    </row>
    <row r="3" spans="1:7" x14ac:dyDescent="0.25">
      <c r="A3" s="1">
        <v>0</v>
      </c>
      <c r="B3">
        <v>0</v>
      </c>
      <c r="C3" s="4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>
        <v>0.1</v>
      </c>
      <c r="B4">
        <v>12200</v>
      </c>
      <c r="C4" s="4">
        <f t="shared" ref="C4:C10" si="0">C3 + (B4 - B3) * A3</f>
        <v>0</v>
      </c>
      <c r="D4">
        <v>3950</v>
      </c>
      <c r="E4">
        <f t="shared" ref="E4:E10" si="1">E3 + (D4 - D3) * A3</f>
        <v>0</v>
      </c>
      <c r="F4">
        <v>10200</v>
      </c>
      <c r="G4" s="4">
        <f t="shared" ref="G4:G10" si="2">G3 + A3 * (F4 - F3)</f>
        <v>0</v>
      </c>
    </row>
    <row r="5" spans="1:7" x14ac:dyDescent="0.25">
      <c r="A5" s="1">
        <v>0.12</v>
      </c>
      <c r="B5">
        <v>32100</v>
      </c>
      <c r="C5" s="4">
        <f t="shared" si="0"/>
        <v>1990</v>
      </c>
      <c r="D5">
        <v>13900</v>
      </c>
      <c r="E5">
        <f t="shared" si="1"/>
        <v>995</v>
      </c>
      <c r="F5">
        <v>24400</v>
      </c>
      <c r="G5" s="4">
        <f t="shared" si="2"/>
        <v>1420</v>
      </c>
    </row>
    <row r="6" spans="1:7" x14ac:dyDescent="0.25">
      <c r="A6" s="1">
        <v>0.22</v>
      </c>
      <c r="B6">
        <v>93250</v>
      </c>
      <c r="C6" s="4">
        <f t="shared" si="0"/>
        <v>9328</v>
      </c>
      <c r="D6">
        <v>44475</v>
      </c>
      <c r="E6">
        <f t="shared" si="1"/>
        <v>4664</v>
      </c>
      <c r="F6">
        <v>64400</v>
      </c>
      <c r="G6" s="4">
        <f t="shared" si="2"/>
        <v>6220</v>
      </c>
    </row>
    <row r="7" spans="1:7" x14ac:dyDescent="0.25">
      <c r="A7" s="1">
        <v>0.24</v>
      </c>
      <c r="B7">
        <v>184950</v>
      </c>
      <c r="C7" s="4">
        <f t="shared" si="0"/>
        <v>29502</v>
      </c>
      <c r="D7">
        <v>90325</v>
      </c>
      <c r="E7">
        <f t="shared" si="1"/>
        <v>14751</v>
      </c>
      <c r="F7">
        <v>96550</v>
      </c>
      <c r="G7" s="4">
        <f t="shared" si="2"/>
        <v>13293</v>
      </c>
    </row>
    <row r="8" spans="1:7" x14ac:dyDescent="0.25">
      <c r="A8" s="1">
        <v>0.32</v>
      </c>
      <c r="B8">
        <v>342050</v>
      </c>
      <c r="C8" s="4">
        <f t="shared" si="0"/>
        <v>67206</v>
      </c>
      <c r="D8">
        <v>168875</v>
      </c>
      <c r="E8">
        <f t="shared" si="1"/>
        <v>33603</v>
      </c>
      <c r="F8">
        <v>175100</v>
      </c>
      <c r="G8" s="4">
        <f t="shared" si="2"/>
        <v>32145</v>
      </c>
    </row>
    <row r="9" spans="1:7" x14ac:dyDescent="0.25">
      <c r="A9" s="1">
        <v>0.35</v>
      </c>
      <c r="B9">
        <v>431050</v>
      </c>
      <c r="C9" s="4">
        <f t="shared" si="0"/>
        <v>95686</v>
      </c>
      <c r="D9">
        <v>213375</v>
      </c>
      <c r="E9">
        <f t="shared" si="1"/>
        <v>47843</v>
      </c>
      <c r="F9">
        <v>219600</v>
      </c>
      <c r="G9" s="4">
        <f t="shared" si="2"/>
        <v>46385</v>
      </c>
    </row>
    <row r="10" spans="1:7" x14ac:dyDescent="0.25">
      <c r="A10" s="1">
        <v>0.37</v>
      </c>
      <c r="B10">
        <v>640500</v>
      </c>
      <c r="C10" s="4">
        <f t="shared" si="0"/>
        <v>168993.5</v>
      </c>
      <c r="D10">
        <v>527550</v>
      </c>
      <c r="E10">
        <f t="shared" si="1"/>
        <v>157804.25</v>
      </c>
      <c r="F10">
        <v>533800</v>
      </c>
      <c r="G10" s="4">
        <f t="shared" si="2"/>
        <v>156355</v>
      </c>
    </row>
    <row r="11" spans="1:7" x14ac:dyDescent="0.25">
      <c r="A11" s="6"/>
    </row>
    <row r="12" spans="1:7" x14ac:dyDescent="0.25">
      <c r="A12" s="16" t="s">
        <v>83</v>
      </c>
      <c r="B12" s="18" t="s">
        <v>84</v>
      </c>
      <c r="C12" s="18"/>
      <c r="E12" s="18" t="s">
        <v>85</v>
      </c>
      <c r="F12" s="18"/>
    </row>
    <row r="13" spans="1:7" x14ac:dyDescent="0.25">
      <c r="A13" t="s">
        <v>8</v>
      </c>
      <c r="B13" t="s">
        <v>27</v>
      </c>
      <c r="C13" s="7">
        <v>6.2E-2</v>
      </c>
      <c r="E13" t="s">
        <v>4</v>
      </c>
      <c r="F13">
        <v>26</v>
      </c>
    </row>
    <row r="14" spans="1:7" x14ac:dyDescent="0.25">
      <c r="A14" t="s">
        <v>11</v>
      </c>
      <c r="B14" t="s">
        <v>28</v>
      </c>
      <c r="C14" s="8">
        <v>142800</v>
      </c>
      <c r="E14" t="s">
        <v>6</v>
      </c>
      <c r="F14">
        <v>260</v>
      </c>
    </row>
    <row r="15" spans="1:7" x14ac:dyDescent="0.25">
      <c r="A15" t="s">
        <v>12</v>
      </c>
      <c r="B15" t="s">
        <v>29</v>
      </c>
      <c r="C15" s="7">
        <v>1.4500000000000001E-2</v>
      </c>
      <c r="E15" t="s">
        <v>2</v>
      </c>
      <c r="F15">
        <v>12</v>
      </c>
    </row>
    <row r="16" spans="1:7" x14ac:dyDescent="0.25">
      <c r="B16" t="s">
        <v>30</v>
      </c>
      <c r="C16" s="7">
        <v>8.9999999999999993E-3</v>
      </c>
      <c r="E16" t="s">
        <v>1</v>
      </c>
      <c r="F16">
        <v>4</v>
      </c>
    </row>
    <row r="17" spans="1:6" x14ac:dyDescent="0.25">
      <c r="B17" t="s">
        <v>31</v>
      </c>
      <c r="C17" s="9">
        <v>200000</v>
      </c>
      <c r="E17" t="s">
        <v>0</v>
      </c>
      <c r="F17" s="6">
        <v>2</v>
      </c>
    </row>
    <row r="18" spans="1:6" x14ac:dyDescent="0.25">
      <c r="E18" t="s">
        <v>3</v>
      </c>
      <c r="F18">
        <v>24</v>
      </c>
    </row>
    <row r="19" spans="1:6" x14ac:dyDescent="0.25">
      <c r="A19" s="16" t="s">
        <v>90</v>
      </c>
      <c r="E19" t="s">
        <v>5</v>
      </c>
      <c r="F19">
        <v>52</v>
      </c>
    </row>
    <row r="20" spans="1:6" x14ac:dyDescent="0.25">
      <c r="A20">
        <v>12900</v>
      </c>
    </row>
    <row r="21" spans="1:6" x14ac:dyDescent="0.25">
      <c r="A21">
        <v>8600</v>
      </c>
    </row>
  </sheetData>
  <sortState ref="E13:F19">
    <sortCondition ref="E12:E18"/>
  </sortState>
  <mergeCells count="5">
    <mergeCell ref="B1:C1"/>
    <mergeCell ref="D1:E1"/>
    <mergeCell ref="F1:G1"/>
    <mergeCell ref="B12:C12"/>
    <mergeCell ref="E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opLeftCell="C76" workbookViewId="0">
      <selection activeCell="U94" sqref="U93:U94"/>
    </sheetView>
  </sheetViews>
  <sheetFormatPr defaultRowHeight="15" x14ac:dyDescent="0.25"/>
  <cols>
    <col min="1" max="1" width="7.42578125" customWidth="1"/>
    <col min="4" max="4" width="10.140625" bestFit="1" customWidth="1"/>
    <col min="8" max="8" width="9.85546875" bestFit="1" customWidth="1"/>
  </cols>
  <sheetData>
    <row r="1" spans="1:20" x14ac:dyDescent="0.25">
      <c r="A1" t="s">
        <v>40</v>
      </c>
      <c r="C1" s="19" t="s">
        <v>46</v>
      </c>
      <c r="D1" s="19"/>
      <c r="E1" s="19"/>
      <c r="F1" s="19"/>
      <c r="G1" s="19"/>
      <c r="H1" s="19"/>
      <c r="I1" s="19"/>
      <c r="J1" s="19"/>
      <c r="K1" s="19"/>
      <c r="L1" s="19"/>
      <c r="M1" s="12"/>
      <c r="N1" s="12"/>
      <c r="O1" s="12"/>
      <c r="P1" s="12"/>
      <c r="Q1" s="12"/>
      <c r="R1" s="12"/>
      <c r="S1" s="12"/>
      <c r="T1" s="12"/>
    </row>
    <row r="2" spans="1:20" x14ac:dyDescent="0.25">
      <c r="A2" t="s">
        <v>41</v>
      </c>
      <c r="C2" s="19" t="s">
        <v>41</v>
      </c>
      <c r="D2" s="19"/>
      <c r="E2" s="19" t="s">
        <v>42</v>
      </c>
      <c r="F2" s="19"/>
      <c r="G2" s="19" t="s">
        <v>43</v>
      </c>
      <c r="H2" s="19"/>
      <c r="I2" s="19" t="s">
        <v>57</v>
      </c>
      <c r="J2" s="19"/>
      <c r="K2" s="19" t="s">
        <v>45</v>
      </c>
      <c r="L2" s="19"/>
      <c r="M2" s="11"/>
    </row>
    <row r="3" spans="1:20" x14ac:dyDescent="0.25">
      <c r="A3" t="s">
        <v>42</v>
      </c>
      <c r="C3">
        <v>0</v>
      </c>
      <c r="D3">
        <v>12000</v>
      </c>
      <c r="E3">
        <v>0</v>
      </c>
      <c r="F3">
        <v>19000</v>
      </c>
      <c r="G3">
        <v>0</v>
      </c>
      <c r="H3">
        <v>24000</v>
      </c>
      <c r="I3">
        <v>0</v>
      </c>
      <c r="J3">
        <v>0</v>
      </c>
      <c r="K3">
        <v>0</v>
      </c>
      <c r="L3">
        <v>15000</v>
      </c>
    </row>
    <row r="4" spans="1:20" x14ac:dyDescent="0.25">
      <c r="A4" t="s">
        <v>43</v>
      </c>
      <c r="C4">
        <v>24000</v>
      </c>
      <c r="D4">
        <v>11000</v>
      </c>
      <c r="E4">
        <v>38000</v>
      </c>
      <c r="F4">
        <v>18000</v>
      </c>
      <c r="G4">
        <v>48000</v>
      </c>
      <c r="H4">
        <v>23000</v>
      </c>
      <c r="I4">
        <v>0</v>
      </c>
      <c r="J4">
        <v>0</v>
      </c>
      <c r="K4">
        <v>30000</v>
      </c>
      <c r="L4">
        <v>14000</v>
      </c>
    </row>
    <row r="5" spans="1:20" x14ac:dyDescent="0.25">
      <c r="A5" t="s">
        <v>44</v>
      </c>
      <c r="C5">
        <v>25000</v>
      </c>
      <c r="D5">
        <v>10000</v>
      </c>
      <c r="E5">
        <v>39000</v>
      </c>
      <c r="F5">
        <v>17000</v>
      </c>
      <c r="G5">
        <v>49000</v>
      </c>
      <c r="H5">
        <v>22000</v>
      </c>
      <c r="I5">
        <v>0</v>
      </c>
      <c r="J5">
        <v>0</v>
      </c>
      <c r="K5">
        <v>31000</v>
      </c>
      <c r="L5">
        <v>13000</v>
      </c>
    </row>
    <row r="6" spans="1:20" x14ac:dyDescent="0.25">
      <c r="A6" t="s">
        <v>56</v>
      </c>
      <c r="C6">
        <v>26000</v>
      </c>
      <c r="D6">
        <v>9000</v>
      </c>
      <c r="E6">
        <v>40000</v>
      </c>
      <c r="F6">
        <v>16000</v>
      </c>
      <c r="G6">
        <v>50000</v>
      </c>
      <c r="H6">
        <v>21000</v>
      </c>
      <c r="K6">
        <v>32000</v>
      </c>
      <c r="L6">
        <v>12000</v>
      </c>
    </row>
    <row r="7" spans="1:20" x14ac:dyDescent="0.25">
      <c r="A7" t="s">
        <v>45</v>
      </c>
      <c r="C7">
        <v>27000</v>
      </c>
      <c r="D7">
        <v>8000</v>
      </c>
      <c r="E7">
        <v>41000</v>
      </c>
      <c r="F7">
        <v>15000</v>
      </c>
      <c r="G7">
        <v>51000</v>
      </c>
      <c r="H7">
        <v>20000</v>
      </c>
      <c r="K7">
        <v>33000</v>
      </c>
      <c r="L7">
        <v>11000</v>
      </c>
    </row>
    <row r="8" spans="1:20" x14ac:dyDescent="0.25">
      <c r="C8">
        <v>28000</v>
      </c>
      <c r="D8">
        <v>7000</v>
      </c>
      <c r="E8">
        <v>42000</v>
      </c>
      <c r="F8">
        <v>14000</v>
      </c>
      <c r="G8">
        <v>52000</v>
      </c>
      <c r="H8">
        <v>19000</v>
      </c>
      <c r="K8">
        <v>34000</v>
      </c>
      <c r="L8">
        <v>10000</v>
      </c>
    </row>
    <row r="9" spans="1:20" x14ac:dyDescent="0.25">
      <c r="C9">
        <v>29000</v>
      </c>
      <c r="D9">
        <v>6000</v>
      </c>
      <c r="E9">
        <v>43000</v>
      </c>
      <c r="F9">
        <v>13000</v>
      </c>
      <c r="G9">
        <v>53000</v>
      </c>
      <c r="H9">
        <v>18000</v>
      </c>
      <c r="K9">
        <v>35000</v>
      </c>
      <c r="L9">
        <v>9000</v>
      </c>
    </row>
    <row r="10" spans="1:20" x14ac:dyDescent="0.25">
      <c r="C10">
        <v>30000</v>
      </c>
      <c r="D10">
        <v>5000</v>
      </c>
      <c r="E10">
        <v>44000</v>
      </c>
      <c r="F10">
        <v>12000</v>
      </c>
      <c r="G10">
        <v>54000</v>
      </c>
      <c r="H10">
        <v>17000</v>
      </c>
      <c r="K10">
        <v>36000</v>
      </c>
      <c r="L10">
        <v>8000</v>
      </c>
    </row>
    <row r="11" spans="1:20" x14ac:dyDescent="0.25">
      <c r="C11">
        <v>31000</v>
      </c>
      <c r="D11">
        <v>4000</v>
      </c>
      <c r="E11">
        <v>45000</v>
      </c>
      <c r="F11">
        <v>11000</v>
      </c>
      <c r="G11">
        <v>55000</v>
      </c>
      <c r="H11">
        <v>16000</v>
      </c>
      <c r="K11">
        <v>37000</v>
      </c>
      <c r="L11">
        <v>7000</v>
      </c>
    </row>
    <row r="12" spans="1:20" x14ac:dyDescent="0.25">
      <c r="C12">
        <v>32000</v>
      </c>
      <c r="D12">
        <v>3000</v>
      </c>
      <c r="E12">
        <v>46000</v>
      </c>
      <c r="F12">
        <v>10000</v>
      </c>
      <c r="G12">
        <v>56000</v>
      </c>
      <c r="H12">
        <v>15000</v>
      </c>
      <c r="K12">
        <v>38000</v>
      </c>
      <c r="L12">
        <v>6000</v>
      </c>
    </row>
    <row r="13" spans="1:20" x14ac:dyDescent="0.25">
      <c r="C13">
        <v>33000</v>
      </c>
      <c r="D13">
        <v>2000</v>
      </c>
      <c r="E13">
        <v>47000</v>
      </c>
      <c r="F13">
        <v>9000</v>
      </c>
      <c r="G13">
        <v>57000</v>
      </c>
      <c r="H13">
        <v>14000</v>
      </c>
      <c r="K13">
        <v>39000</v>
      </c>
      <c r="L13">
        <v>5000</v>
      </c>
    </row>
    <row r="14" spans="1:20" x14ac:dyDescent="0.25">
      <c r="C14">
        <v>34000</v>
      </c>
      <c r="D14">
        <v>1000</v>
      </c>
      <c r="E14">
        <v>48000</v>
      </c>
      <c r="F14">
        <v>8000</v>
      </c>
      <c r="G14">
        <v>58000</v>
      </c>
      <c r="H14">
        <v>13000</v>
      </c>
      <c r="K14">
        <v>40000</v>
      </c>
      <c r="L14">
        <v>4000</v>
      </c>
    </row>
    <row r="15" spans="1:20" x14ac:dyDescent="0.25">
      <c r="C15">
        <v>35000</v>
      </c>
      <c r="D15">
        <v>0</v>
      </c>
      <c r="E15">
        <v>49000</v>
      </c>
      <c r="F15">
        <v>7000</v>
      </c>
      <c r="G15">
        <v>59000</v>
      </c>
      <c r="H15">
        <v>12000</v>
      </c>
      <c r="K15">
        <v>41000</v>
      </c>
      <c r="L15">
        <v>3000</v>
      </c>
    </row>
    <row r="16" spans="1:20" x14ac:dyDescent="0.25">
      <c r="E16">
        <v>50000</v>
      </c>
      <c r="F16">
        <v>6000</v>
      </c>
      <c r="G16">
        <v>60000</v>
      </c>
      <c r="H16">
        <v>11000</v>
      </c>
      <c r="K16">
        <v>42000</v>
      </c>
      <c r="L16">
        <v>2000</v>
      </c>
    </row>
    <row r="17" spans="1:19" x14ac:dyDescent="0.25">
      <c r="E17">
        <v>51000</v>
      </c>
      <c r="F17">
        <v>5000</v>
      </c>
      <c r="G17">
        <v>61000</v>
      </c>
      <c r="H17">
        <v>10000</v>
      </c>
      <c r="K17">
        <v>43000</v>
      </c>
      <c r="L17">
        <v>1000</v>
      </c>
    </row>
    <row r="18" spans="1:19" x14ac:dyDescent="0.25">
      <c r="E18">
        <v>52000</v>
      </c>
      <c r="F18">
        <v>4000</v>
      </c>
      <c r="G18">
        <v>62000</v>
      </c>
      <c r="H18">
        <v>9000</v>
      </c>
      <c r="K18">
        <v>44000</v>
      </c>
      <c r="L18">
        <v>0</v>
      </c>
    </row>
    <row r="19" spans="1:19" x14ac:dyDescent="0.25">
      <c r="E19">
        <v>53000</v>
      </c>
      <c r="F19">
        <v>3000</v>
      </c>
      <c r="G19">
        <v>63000</v>
      </c>
      <c r="H19">
        <v>8000</v>
      </c>
    </row>
    <row r="20" spans="1:19" x14ac:dyDescent="0.25">
      <c r="E20">
        <v>54000</v>
      </c>
      <c r="F20">
        <v>2000</v>
      </c>
      <c r="G20">
        <v>64000</v>
      </c>
      <c r="H20">
        <v>7000</v>
      </c>
    </row>
    <row r="21" spans="1:19" x14ac:dyDescent="0.25">
      <c r="E21">
        <v>55000</v>
      </c>
      <c r="F21">
        <v>1000</v>
      </c>
      <c r="G21">
        <v>65000</v>
      </c>
      <c r="H21">
        <v>6000</v>
      </c>
    </row>
    <row r="22" spans="1:19" x14ac:dyDescent="0.25">
      <c r="E22">
        <v>56000</v>
      </c>
      <c r="F22">
        <v>0</v>
      </c>
      <c r="G22">
        <v>66000</v>
      </c>
      <c r="H22">
        <v>5000</v>
      </c>
    </row>
    <row r="23" spans="1:19" x14ac:dyDescent="0.25">
      <c r="G23">
        <v>67000</v>
      </c>
      <c r="H23">
        <v>4000</v>
      </c>
    </row>
    <row r="24" spans="1:19" x14ac:dyDescent="0.25">
      <c r="G24">
        <v>68000</v>
      </c>
      <c r="H24">
        <v>3000</v>
      </c>
    </row>
    <row r="25" spans="1:19" x14ac:dyDescent="0.25">
      <c r="G25">
        <v>69000</v>
      </c>
      <c r="H25">
        <v>2000</v>
      </c>
    </row>
    <row r="26" spans="1:19" x14ac:dyDescent="0.25">
      <c r="G26">
        <v>70000</v>
      </c>
      <c r="H26">
        <v>1000</v>
      </c>
    </row>
    <row r="27" spans="1:19" x14ac:dyDescent="0.25">
      <c r="G27">
        <v>71000</v>
      </c>
      <c r="H27">
        <v>0</v>
      </c>
    </row>
    <row r="29" spans="1:19" x14ac:dyDescent="0.25">
      <c r="C29" s="19" t="s">
        <v>47</v>
      </c>
      <c r="D29" s="19"/>
      <c r="E29" s="19"/>
      <c r="F29" s="19"/>
      <c r="G29" s="19"/>
      <c r="H29" s="19"/>
      <c r="I29" s="19"/>
      <c r="J29" s="19"/>
      <c r="K29" s="14"/>
      <c r="L29" s="14"/>
      <c r="M29" s="14"/>
      <c r="N29" s="14"/>
      <c r="O29" s="14"/>
      <c r="P29" s="14"/>
      <c r="Q29" s="11"/>
      <c r="R29" s="11"/>
      <c r="S29" s="11"/>
    </row>
    <row r="30" spans="1:19" x14ac:dyDescent="0.25">
      <c r="A30" t="s">
        <v>7</v>
      </c>
      <c r="C30" s="19" t="s">
        <v>48</v>
      </c>
      <c r="D30" s="19"/>
      <c r="E30" s="19" t="s">
        <v>42</v>
      </c>
      <c r="F30" s="19"/>
      <c r="G30" s="19" t="s">
        <v>43</v>
      </c>
      <c r="H30" s="19"/>
      <c r="I30" s="19" t="s">
        <v>56</v>
      </c>
      <c r="J30" s="19"/>
    </row>
    <row r="31" spans="1:19" x14ac:dyDescent="0.25">
      <c r="A31" s="15">
        <v>0.03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9" x14ac:dyDescent="0.25">
      <c r="A32" s="15">
        <v>0.05</v>
      </c>
      <c r="C32">
        <v>10000</v>
      </c>
      <c r="D32" s="4">
        <f>D31+$A31*(C32 - C31)</f>
        <v>300</v>
      </c>
      <c r="E32">
        <v>16000</v>
      </c>
      <c r="F32" s="4">
        <f>F31+A31*(E32-E31)</f>
        <v>480</v>
      </c>
      <c r="G32">
        <v>20000</v>
      </c>
      <c r="H32">
        <f>H31+(G32-G31)*A31</f>
        <v>600</v>
      </c>
      <c r="I32">
        <v>0</v>
      </c>
      <c r="J32">
        <v>0</v>
      </c>
    </row>
    <row r="33" spans="1:19" x14ac:dyDescent="0.25">
      <c r="A33" s="15">
        <v>5.5E-2</v>
      </c>
      <c r="C33">
        <v>50000</v>
      </c>
      <c r="D33" s="4">
        <f t="shared" ref="D33:D37" si="0">D32+$A32*(C33 - C32)</f>
        <v>2300</v>
      </c>
      <c r="E33">
        <v>80000</v>
      </c>
      <c r="F33" s="4">
        <f t="shared" ref="F33:F37" si="1">F32+A32*(E33-E32)</f>
        <v>3680</v>
      </c>
      <c r="G33">
        <v>100000</v>
      </c>
      <c r="H33">
        <f t="shared" ref="H33:H37" si="2">H32+(G33-G32)*A32</f>
        <v>4600</v>
      </c>
    </row>
    <row r="34" spans="1:19" x14ac:dyDescent="0.25">
      <c r="A34" s="15">
        <v>0.06</v>
      </c>
      <c r="C34">
        <v>100000</v>
      </c>
      <c r="D34" s="4">
        <f t="shared" si="0"/>
        <v>5050</v>
      </c>
      <c r="E34">
        <f t="shared" ref="E34:E35" si="3">E33*2</f>
        <v>160000</v>
      </c>
      <c r="F34" s="4">
        <f t="shared" si="1"/>
        <v>8080</v>
      </c>
      <c r="G34">
        <v>200000</v>
      </c>
      <c r="H34">
        <f t="shared" si="2"/>
        <v>10100</v>
      </c>
    </row>
    <row r="35" spans="1:19" x14ac:dyDescent="0.25">
      <c r="A35" s="15">
        <v>6.5000000000000002E-2</v>
      </c>
      <c r="C35">
        <v>200000</v>
      </c>
      <c r="D35" s="4">
        <f t="shared" si="0"/>
        <v>11050</v>
      </c>
      <c r="E35">
        <f t="shared" si="3"/>
        <v>320000</v>
      </c>
      <c r="F35" s="4">
        <f t="shared" si="1"/>
        <v>17680</v>
      </c>
      <c r="G35">
        <v>400000</v>
      </c>
      <c r="H35">
        <f t="shared" si="2"/>
        <v>22100</v>
      </c>
    </row>
    <row r="36" spans="1:19" x14ac:dyDescent="0.25">
      <c r="A36" s="15">
        <v>6.9000000000000006E-2</v>
      </c>
      <c r="C36">
        <v>250000</v>
      </c>
      <c r="D36" s="4">
        <f t="shared" si="0"/>
        <v>14300</v>
      </c>
      <c r="E36">
        <v>400000</v>
      </c>
      <c r="F36" s="4">
        <f t="shared" si="1"/>
        <v>22880</v>
      </c>
      <c r="G36">
        <v>500000</v>
      </c>
      <c r="H36">
        <f t="shared" si="2"/>
        <v>28600</v>
      </c>
    </row>
    <row r="37" spans="1:19" x14ac:dyDescent="0.25">
      <c r="A37" s="15">
        <v>6.9900000000000004E-2</v>
      </c>
      <c r="C37">
        <v>500000</v>
      </c>
      <c r="D37" s="4">
        <f t="shared" si="0"/>
        <v>31550</v>
      </c>
      <c r="E37">
        <v>800000</v>
      </c>
      <c r="F37" s="4">
        <f t="shared" si="1"/>
        <v>50480</v>
      </c>
      <c r="G37">
        <v>1000000</v>
      </c>
      <c r="H37">
        <f t="shared" si="2"/>
        <v>63100</v>
      </c>
    </row>
    <row r="40" spans="1:19" x14ac:dyDescent="0.25">
      <c r="C40" s="19" t="s">
        <v>49</v>
      </c>
      <c r="D40" s="19"/>
      <c r="E40" s="19"/>
      <c r="F40" s="19"/>
      <c r="G40" s="19"/>
      <c r="H40" s="19"/>
      <c r="I40" s="19"/>
      <c r="J40" s="19"/>
      <c r="K40" s="19"/>
      <c r="L40" s="19"/>
      <c r="M40" s="14"/>
      <c r="N40" s="14"/>
      <c r="O40" s="14"/>
      <c r="P40" s="14"/>
      <c r="Q40" s="11"/>
      <c r="R40" s="11"/>
      <c r="S40" s="11"/>
    </row>
    <row r="41" spans="1:19" x14ac:dyDescent="0.25">
      <c r="C41" s="19" t="s">
        <v>50</v>
      </c>
      <c r="D41" s="19"/>
      <c r="E41" s="19" t="s">
        <v>42</v>
      </c>
      <c r="F41" s="19"/>
      <c r="G41" s="19" t="s">
        <v>43</v>
      </c>
      <c r="H41" s="19"/>
      <c r="I41" s="19" t="s">
        <v>45</v>
      </c>
      <c r="J41" s="19"/>
      <c r="K41" s="19" t="s">
        <v>56</v>
      </c>
      <c r="L41" s="19"/>
    </row>
    <row r="42" spans="1:19" x14ac:dyDescent="0.25"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9" x14ac:dyDescent="0.25">
      <c r="C43">
        <v>50250</v>
      </c>
      <c r="D43">
        <f>D42+20</f>
        <v>20</v>
      </c>
      <c r="E43">
        <v>78500</v>
      </c>
      <c r="F43">
        <f>F42+32</f>
        <v>32</v>
      </c>
      <c r="G43">
        <v>100500</v>
      </c>
      <c r="H43">
        <f>H42+40</f>
        <v>40</v>
      </c>
      <c r="I43">
        <v>56500</v>
      </c>
      <c r="J43">
        <f>J42+20</f>
        <v>20</v>
      </c>
      <c r="K43">
        <v>0</v>
      </c>
      <c r="L43">
        <v>0</v>
      </c>
    </row>
    <row r="44" spans="1:19" x14ac:dyDescent="0.25">
      <c r="C44">
        <f>C43+2500</f>
        <v>52750</v>
      </c>
      <c r="D44">
        <f t="shared" ref="D44:D52" si="4">D43+20</f>
        <v>40</v>
      </c>
      <c r="E44">
        <f>E43+4000</f>
        <v>82500</v>
      </c>
      <c r="F44">
        <f t="shared" ref="F44:F52" si="5">F43+32</f>
        <v>64</v>
      </c>
      <c r="G44">
        <f>G43+5000</f>
        <v>105500</v>
      </c>
      <c r="H44">
        <f t="shared" ref="H44:H52" si="6">H43+40</f>
        <v>80</v>
      </c>
      <c r="I44">
        <f>I43+5000</f>
        <v>61500</v>
      </c>
      <c r="J44">
        <f t="shared" ref="J44:J52" si="7">J43+20</f>
        <v>40</v>
      </c>
    </row>
    <row r="45" spans="1:19" x14ac:dyDescent="0.25">
      <c r="C45">
        <f t="shared" ref="C45:C52" si="8">C44+2500</f>
        <v>55250</v>
      </c>
      <c r="D45">
        <f t="shared" si="4"/>
        <v>60</v>
      </c>
      <c r="E45">
        <f t="shared" ref="E45:E52" si="9">E44+4000</f>
        <v>86500</v>
      </c>
      <c r="F45">
        <f t="shared" si="5"/>
        <v>96</v>
      </c>
      <c r="G45">
        <f t="shared" ref="G45:G52" si="10">G44+5000</f>
        <v>110500</v>
      </c>
      <c r="H45">
        <f t="shared" si="6"/>
        <v>120</v>
      </c>
      <c r="I45">
        <f t="shared" ref="I45:I52" si="11">I44+5000</f>
        <v>66500</v>
      </c>
      <c r="J45">
        <f t="shared" si="7"/>
        <v>60</v>
      </c>
    </row>
    <row r="46" spans="1:19" x14ac:dyDescent="0.25">
      <c r="C46">
        <f t="shared" si="8"/>
        <v>57750</v>
      </c>
      <c r="D46">
        <f t="shared" si="4"/>
        <v>80</v>
      </c>
      <c r="E46">
        <f t="shared" si="9"/>
        <v>90500</v>
      </c>
      <c r="F46">
        <f t="shared" si="5"/>
        <v>128</v>
      </c>
      <c r="G46">
        <f t="shared" si="10"/>
        <v>115500</v>
      </c>
      <c r="H46">
        <f t="shared" si="6"/>
        <v>160</v>
      </c>
      <c r="I46">
        <f t="shared" si="11"/>
        <v>71500</v>
      </c>
      <c r="J46">
        <f t="shared" si="7"/>
        <v>80</v>
      </c>
    </row>
    <row r="47" spans="1:19" x14ac:dyDescent="0.25">
      <c r="C47">
        <f t="shared" si="8"/>
        <v>60250</v>
      </c>
      <c r="D47">
        <f t="shared" si="4"/>
        <v>100</v>
      </c>
      <c r="E47">
        <f t="shared" si="9"/>
        <v>94500</v>
      </c>
      <c r="F47">
        <f t="shared" si="5"/>
        <v>160</v>
      </c>
      <c r="G47">
        <f t="shared" si="10"/>
        <v>120500</v>
      </c>
      <c r="H47">
        <f t="shared" si="6"/>
        <v>200</v>
      </c>
      <c r="I47">
        <f t="shared" si="11"/>
        <v>76500</v>
      </c>
      <c r="J47">
        <f t="shared" si="7"/>
        <v>100</v>
      </c>
    </row>
    <row r="48" spans="1:19" x14ac:dyDescent="0.25">
      <c r="C48">
        <f t="shared" si="8"/>
        <v>62750</v>
      </c>
      <c r="D48">
        <f t="shared" si="4"/>
        <v>120</v>
      </c>
      <c r="E48">
        <f t="shared" si="9"/>
        <v>98500</v>
      </c>
      <c r="F48">
        <f t="shared" si="5"/>
        <v>192</v>
      </c>
      <c r="G48">
        <f t="shared" si="10"/>
        <v>125500</v>
      </c>
      <c r="H48">
        <f t="shared" si="6"/>
        <v>240</v>
      </c>
      <c r="I48">
        <f t="shared" si="11"/>
        <v>81500</v>
      </c>
      <c r="J48">
        <f t="shared" si="7"/>
        <v>120</v>
      </c>
    </row>
    <row r="49" spans="3:24" x14ac:dyDescent="0.25">
      <c r="C49">
        <f t="shared" si="8"/>
        <v>65250</v>
      </c>
      <c r="D49">
        <f t="shared" si="4"/>
        <v>140</v>
      </c>
      <c r="E49">
        <f t="shared" si="9"/>
        <v>102500</v>
      </c>
      <c r="F49">
        <f t="shared" si="5"/>
        <v>224</v>
      </c>
      <c r="G49">
        <f t="shared" si="10"/>
        <v>130500</v>
      </c>
      <c r="H49">
        <f t="shared" si="6"/>
        <v>280</v>
      </c>
      <c r="I49">
        <f t="shared" si="11"/>
        <v>86500</v>
      </c>
      <c r="J49">
        <f t="shared" si="7"/>
        <v>140</v>
      </c>
    </row>
    <row r="50" spans="3:24" x14ac:dyDescent="0.25">
      <c r="C50">
        <f t="shared" si="8"/>
        <v>67750</v>
      </c>
      <c r="D50">
        <f t="shared" si="4"/>
        <v>160</v>
      </c>
      <c r="E50">
        <f t="shared" si="9"/>
        <v>106500</v>
      </c>
      <c r="F50">
        <f t="shared" si="5"/>
        <v>256</v>
      </c>
      <c r="G50">
        <f t="shared" si="10"/>
        <v>135500</v>
      </c>
      <c r="H50">
        <f t="shared" si="6"/>
        <v>320</v>
      </c>
      <c r="I50">
        <f t="shared" si="11"/>
        <v>91500</v>
      </c>
      <c r="J50">
        <f t="shared" si="7"/>
        <v>160</v>
      </c>
    </row>
    <row r="51" spans="3:24" x14ac:dyDescent="0.25">
      <c r="C51">
        <f t="shared" si="8"/>
        <v>70250</v>
      </c>
      <c r="D51">
        <f t="shared" si="4"/>
        <v>180</v>
      </c>
      <c r="E51">
        <f t="shared" si="9"/>
        <v>110500</v>
      </c>
      <c r="F51">
        <f t="shared" si="5"/>
        <v>288</v>
      </c>
      <c r="G51">
        <f t="shared" si="10"/>
        <v>140500</v>
      </c>
      <c r="H51">
        <f t="shared" si="6"/>
        <v>360</v>
      </c>
      <c r="I51">
        <f>I50+5000</f>
        <v>96500</v>
      </c>
      <c r="J51">
        <f t="shared" si="7"/>
        <v>180</v>
      </c>
    </row>
    <row r="52" spans="3:24" x14ac:dyDescent="0.25">
      <c r="C52">
        <f t="shared" si="8"/>
        <v>72750</v>
      </c>
      <c r="D52">
        <f t="shared" si="4"/>
        <v>200</v>
      </c>
      <c r="E52">
        <f t="shared" si="9"/>
        <v>114500</v>
      </c>
      <c r="F52">
        <f t="shared" si="5"/>
        <v>320</v>
      </c>
      <c r="G52">
        <f t="shared" si="10"/>
        <v>145500</v>
      </c>
      <c r="H52">
        <f t="shared" si="6"/>
        <v>400</v>
      </c>
      <c r="I52">
        <f t="shared" si="11"/>
        <v>101500</v>
      </c>
      <c r="J52">
        <f t="shared" si="7"/>
        <v>200</v>
      </c>
    </row>
    <row r="55" spans="3:24" x14ac:dyDescent="0.25">
      <c r="C55" s="19" t="s">
        <v>51</v>
      </c>
      <c r="D55" s="19"/>
      <c r="E55" s="19"/>
      <c r="F55" s="19"/>
      <c r="G55" s="19"/>
      <c r="H55" s="19"/>
      <c r="I55" s="19"/>
      <c r="J55" s="19"/>
      <c r="K55" s="14"/>
      <c r="L55" s="19" t="s">
        <v>52</v>
      </c>
      <c r="M55" s="19"/>
      <c r="N55" s="19"/>
      <c r="O55" s="19"/>
      <c r="P55" s="19"/>
      <c r="Q55" s="19"/>
      <c r="R55" s="19"/>
      <c r="S55" s="19"/>
      <c r="T55" s="19"/>
      <c r="U55" s="19"/>
      <c r="V55" s="14"/>
      <c r="W55" s="14"/>
      <c r="X55" s="14"/>
    </row>
    <row r="56" spans="3:24" x14ac:dyDescent="0.25">
      <c r="C56" s="19" t="s">
        <v>48</v>
      </c>
      <c r="D56" s="19"/>
      <c r="E56" s="19" t="s">
        <v>42</v>
      </c>
      <c r="F56" s="19"/>
      <c r="G56" s="19" t="s">
        <v>43</v>
      </c>
      <c r="H56" s="19"/>
      <c r="I56" s="19" t="s">
        <v>56</v>
      </c>
      <c r="J56" s="19"/>
      <c r="K56" s="10"/>
      <c r="L56" s="19" t="s">
        <v>41</v>
      </c>
      <c r="M56" s="19"/>
      <c r="N56" s="19" t="s">
        <v>42</v>
      </c>
      <c r="O56" s="19"/>
      <c r="P56" s="19" t="s">
        <v>43</v>
      </c>
      <c r="Q56" s="19"/>
      <c r="R56" s="19" t="s">
        <v>57</v>
      </c>
      <c r="S56" s="19"/>
      <c r="T56" s="19" t="s">
        <v>45</v>
      </c>
      <c r="U56" s="19"/>
    </row>
    <row r="57" spans="3:24" x14ac:dyDescent="0.25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3:24" x14ac:dyDescent="0.25">
      <c r="C58">
        <v>200000</v>
      </c>
      <c r="D58">
        <f>D57+90</f>
        <v>90</v>
      </c>
      <c r="E58">
        <v>320000</v>
      </c>
      <c r="F58">
        <f>F57+140</f>
        <v>140</v>
      </c>
      <c r="G58">
        <v>400000</v>
      </c>
      <c r="H58">
        <f>H57+180</f>
        <v>180</v>
      </c>
      <c r="I58">
        <v>0</v>
      </c>
      <c r="J58">
        <v>0</v>
      </c>
      <c r="L58">
        <v>12000</v>
      </c>
      <c r="M58">
        <v>0.75</v>
      </c>
      <c r="N58">
        <v>19000</v>
      </c>
      <c r="O58">
        <v>0.75</v>
      </c>
      <c r="P58">
        <v>24000</v>
      </c>
      <c r="Q58">
        <v>0.75</v>
      </c>
      <c r="R58">
        <v>0</v>
      </c>
      <c r="S58">
        <v>0</v>
      </c>
      <c r="T58">
        <v>15000</v>
      </c>
      <c r="U58">
        <v>0.75</v>
      </c>
    </row>
    <row r="59" spans="3:24" x14ac:dyDescent="0.25">
      <c r="C59">
        <f>C58+5000</f>
        <v>205000</v>
      </c>
      <c r="D59">
        <f t="shared" ref="D59:D87" si="12">D58+90</f>
        <v>180</v>
      </c>
      <c r="E59">
        <f>E58+8000</f>
        <v>328000</v>
      </c>
      <c r="F59">
        <f>F58+140</f>
        <v>280</v>
      </c>
      <c r="G59">
        <f>G58+10000</f>
        <v>410000</v>
      </c>
      <c r="H59">
        <f>H58+180</f>
        <v>360</v>
      </c>
      <c r="L59">
        <v>15000</v>
      </c>
      <c r="M59">
        <v>0.7</v>
      </c>
      <c r="N59">
        <v>24000</v>
      </c>
      <c r="O59">
        <v>0.7</v>
      </c>
      <c r="P59">
        <v>30000</v>
      </c>
      <c r="Q59">
        <v>0.7</v>
      </c>
      <c r="R59">
        <v>0</v>
      </c>
      <c r="S59">
        <v>0</v>
      </c>
      <c r="T59">
        <v>18800</v>
      </c>
      <c r="U59">
        <v>0.7</v>
      </c>
    </row>
    <row r="60" spans="3:24" x14ac:dyDescent="0.25">
      <c r="C60">
        <f t="shared" ref="C60:C96" si="13">C59+5000</f>
        <v>210000</v>
      </c>
      <c r="D60">
        <f t="shared" si="12"/>
        <v>270</v>
      </c>
      <c r="E60">
        <f t="shared" ref="E60:E87" si="14">E59+8000</f>
        <v>336000</v>
      </c>
      <c r="F60">
        <f t="shared" ref="F60:F87" si="15">F59+140</f>
        <v>420</v>
      </c>
      <c r="G60">
        <f t="shared" ref="G60:G87" si="16">G59+10000</f>
        <v>420000</v>
      </c>
      <c r="H60">
        <f t="shared" ref="H60:H87" si="17">H59+180</f>
        <v>540</v>
      </c>
      <c r="L60">
        <f>L59+500</f>
        <v>15500</v>
      </c>
      <c r="M60">
        <v>0.65</v>
      </c>
      <c r="N60">
        <f>N59+500</f>
        <v>24500</v>
      </c>
      <c r="O60">
        <v>0.65</v>
      </c>
      <c r="P60">
        <f>P59+500</f>
        <v>30500</v>
      </c>
      <c r="Q60">
        <v>0.65</v>
      </c>
      <c r="R60">
        <v>0</v>
      </c>
      <c r="S60">
        <v>0</v>
      </c>
      <c r="T60">
        <f>T59+500</f>
        <v>19300</v>
      </c>
      <c r="U60">
        <v>0.65</v>
      </c>
    </row>
    <row r="61" spans="3:24" x14ac:dyDescent="0.25">
      <c r="C61">
        <f t="shared" si="13"/>
        <v>215000</v>
      </c>
      <c r="D61">
        <f t="shared" si="12"/>
        <v>360</v>
      </c>
      <c r="E61">
        <f t="shared" si="14"/>
        <v>344000</v>
      </c>
      <c r="F61">
        <f t="shared" si="15"/>
        <v>560</v>
      </c>
      <c r="G61">
        <f t="shared" si="16"/>
        <v>430000</v>
      </c>
      <c r="H61">
        <f t="shared" si="17"/>
        <v>720</v>
      </c>
      <c r="L61">
        <f t="shared" ref="L61:L66" si="18">L60+500</f>
        <v>16000</v>
      </c>
      <c r="M61">
        <v>0.6</v>
      </c>
      <c r="N61">
        <f t="shared" ref="N61:N85" si="19">N60+500</f>
        <v>25000</v>
      </c>
      <c r="O61">
        <v>0.6</v>
      </c>
      <c r="P61">
        <f t="shared" ref="P61:P85" si="20">P60+500</f>
        <v>31000</v>
      </c>
      <c r="Q61">
        <v>0.6</v>
      </c>
      <c r="R61">
        <v>0</v>
      </c>
      <c r="S61">
        <v>0</v>
      </c>
      <c r="T61">
        <f t="shared" ref="T61:T84" si="21">T60+500</f>
        <v>19800</v>
      </c>
      <c r="U61">
        <v>0.6</v>
      </c>
    </row>
    <row r="62" spans="3:24" x14ac:dyDescent="0.25">
      <c r="C62">
        <f t="shared" si="13"/>
        <v>220000</v>
      </c>
      <c r="D62">
        <f t="shared" si="12"/>
        <v>450</v>
      </c>
      <c r="E62">
        <f t="shared" si="14"/>
        <v>352000</v>
      </c>
      <c r="F62">
        <f t="shared" si="15"/>
        <v>700</v>
      </c>
      <c r="G62">
        <f t="shared" si="16"/>
        <v>440000</v>
      </c>
      <c r="H62">
        <f t="shared" si="17"/>
        <v>900</v>
      </c>
      <c r="L62">
        <f t="shared" si="18"/>
        <v>16500</v>
      </c>
      <c r="M62">
        <v>0.55000000000000004</v>
      </c>
      <c r="N62">
        <f t="shared" si="19"/>
        <v>25500</v>
      </c>
      <c r="O62">
        <v>0.55000000000000004</v>
      </c>
      <c r="P62">
        <f t="shared" si="20"/>
        <v>31500</v>
      </c>
      <c r="Q62">
        <v>0.55000000000000004</v>
      </c>
      <c r="R62">
        <v>0</v>
      </c>
      <c r="S62">
        <v>0</v>
      </c>
      <c r="T62">
        <f t="shared" si="21"/>
        <v>20300</v>
      </c>
      <c r="U62">
        <v>0.55000000000000004</v>
      </c>
    </row>
    <row r="63" spans="3:24" x14ac:dyDescent="0.25">
      <c r="C63">
        <f t="shared" si="13"/>
        <v>225000</v>
      </c>
      <c r="D63">
        <f t="shared" si="12"/>
        <v>540</v>
      </c>
      <c r="E63">
        <f t="shared" si="14"/>
        <v>360000</v>
      </c>
      <c r="F63">
        <f t="shared" si="15"/>
        <v>840</v>
      </c>
      <c r="G63">
        <f t="shared" si="16"/>
        <v>450000</v>
      </c>
      <c r="H63">
        <f t="shared" si="17"/>
        <v>1080</v>
      </c>
      <c r="L63">
        <f t="shared" si="18"/>
        <v>17000</v>
      </c>
      <c r="M63">
        <v>0.5</v>
      </c>
      <c r="N63">
        <f t="shared" si="19"/>
        <v>26000</v>
      </c>
      <c r="O63">
        <v>0.5</v>
      </c>
      <c r="P63">
        <f t="shared" si="20"/>
        <v>32000</v>
      </c>
      <c r="Q63">
        <v>0.5</v>
      </c>
      <c r="R63">
        <v>0</v>
      </c>
      <c r="S63">
        <v>0</v>
      </c>
      <c r="T63">
        <f t="shared" si="21"/>
        <v>20800</v>
      </c>
      <c r="U63">
        <v>0.5</v>
      </c>
    </row>
    <row r="64" spans="3:24" x14ac:dyDescent="0.25">
      <c r="C64">
        <f t="shared" si="13"/>
        <v>230000</v>
      </c>
      <c r="D64">
        <f t="shared" si="12"/>
        <v>630</v>
      </c>
      <c r="E64">
        <f t="shared" si="14"/>
        <v>368000</v>
      </c>
      <c r="F64">
        <f t="shared" si="15"/>
        <v>980</v>
      </c>
      <c r="G64">
        <f t="shared" si="16"/>
        <v>460000</v>
      </c>
      <c r="H64">
        <f t="shared" si="17"/>
        <v>1260</v>
      </c>
      <c r="L64">
        <f t="shared" si="18"/>
        <v>17500</v>
      </c>
      <c r="M64">
        <v>0.45</v>
      </c>
      <c r="N64">
        <f t="shared" si="19"/>
        <v>26500</v>
      </c>
      <c r="O64">
        <v>0.45</v>
      </c>
      <c r="P64">
        <f t="shared" si="20"/>
        <v>32500</v>
      </c>
      <c r="Q64">
        <v>0.45</v>
      </c>
      <c r="R64">
        <v>0</v>
      </c>
      <c r="S64">
        <v>0</v>
      </c>
      <c r="T64">
        <f t="shared" si="21"/>
        <v>21300</v>
      </c>
      <c r="U64">
        <v>0.45</v>
      </c>
    </row>
    <row r="65" spans="3:21" x14ac:dyDescent="0.25">
      <c r="C65">
        <f t="shared" si="13"/>
        <v>235000</v>
      </c>
      <c r="D65">
        <f t="shared" si="12"/>
        <v>720</v>
      </c>
      <c r="E65">
        <f t="shared" si="14"/>
        <v>376000</v>
      </c>
      <c r="F65">
        <f t="shared" si="15"/>
        <v>1120</v>
      </c>
      <c r="G65">
        <f t="shared" si="16"/>
        <v>470000</v>
      </c>
      <c r="H65">
        <f t="shared" si="17"/>
        <v>1440</v>
      </c>
      <c r="L65">
        <f t="shared" si="18"/>
        <v>18000</v>
      </c>
      <c r="M65">
        <v>0.4</v>
      </c>
      <c r="N65">
        <f t="shared" si="19"/>
        <v>27000</v>
      </c>
      <c r="O65">
        <v>0.4</v>
      </c>
      <c r="P65">
        <f t="shared" si="20"/>
        <v>33000</v>
      </c>
      <c r="Q65">
        <v>0.4</v>
      </c>
      <c r="R65">
        <v>0</v>
      </c>
      <c r="S65">
        <v>0</v>
      </c>
      <c r="T65">
        <f t="shared" si="21"/>
        <v>21800</v>
      </c>
      <c r="U65">
        <v>0.4</v>
      </c>
    </row>
    <row r="66" spans="3:21" x14ac:dyDescent="0.25">
      <c r="C66">
        <f t="shared" si="13"/>
        <v>240000</v>
      </c>
      <c r="D66">
        <f t="shared" si="12"/>
        <v>810</v>
      </c>
      <c r="E66">
        <f t="shared" si="14"/>
        <v>384000</v>
      </c>
      <c r="F66">
        <f t="shared" si="15"/>
        <v>1260</v>
      </c>
      <c r="G66">
        <f t="shared" si="16"/>
        <v>480000</v>
      </c>
      <c r="H66">
        <f t="shared" si="17"/>
        <v>1620</v>
      </c>
      <c r="L66">
        <f t="shared" si="18"/>
        <v>18500</v>
      </c>
      <c r="M66">
        <v>0.35</v>
      </c>
      <c r="N66">
        <f t="shared" si="19"/>
        <v>27500</v>
      </c>
      <c r="O66">
        <v>0.35</v>
      </c>
      <c r="P66">
        <f t="shared" si="20"/>
        <v>33500</v>
      </c>
      <c r="Q66">
        <v>0.35</v>
      </c>
      <c r="R66">
        <v>0</v>
      </c>
      <c r="S66">
        <v>0</v>
      </c>
      <c r="T66">
        <f t="shared" si="21"/>
        <v>22300</v>
      </c>
      <c r="U66">
        <v>0.35</v>
      </c>
    </row>
    <row r="67" spans="3:21" x14ac:dyDescent="0.25">
      <c r="C67">
        <f t="shared" si="13"/>
        <v>245000</v>
      </c>
      <c r="D67">
        <f t="shared" si="12"/>
        <v>900</v>
      </c>
      <c r="E67">
        <f t="shared" si="14"/>
        <v>392000</v>
      </c>
      <c r="F67">
        <f t="shared" si="15"/>
        <v>1400</v>
      </c>
      <c r="G67">
        <f t="shared" si="16"/>
        <v>490000</v>
      </c>
      <c r="H67">
        <f t="shared" si="17"/>
        <v>1800</v>
      </c>
      <c r="L67">
        <v>20000</v>
      </c>
      <c r="M67">
        <v>0.3</v>
      </c>
      <c r="N67">
        <v>34000</v>
      </c>
      <c r="O67">
        <v>0.3</v>
      </c>
      <c r="P67">
        <v>40000</v>
      </c>
      <c r="Q67">
        <v>0.3</v>
      </c>
      <c r="R67">
        <v>0</v>
      </c>
      <c r="S67">
        <v>0</v>
      </c>
      <c r="T67">
        <v>25000</v>
      </c>
      <c r="U67">
        <v>0.3</v>
      </c>
    </row>
    <row r="68" spans="3:21" x14ac:dyDescent="0.25">
      <c r="C68">
        <f t="shared" si="13"/>
        <v>250000</v>
      </c>
      <c r="D68">
        <f t="shared" si="12"/>
        <v>990</v>
      </c>
      <c r="E68">
        <f t="shared" si="14"/>
        <v>400000</v>
      </c>
      <c r="F68">
        <f t="shared" si="15"/>
        <v>1540</v>
      </c>
      <c r="G68">
        <f t="shared" si="16"/>
        <v>500000</v>
      </c>
      <c r="H68">
        <f t="shared" si="17"/>
        <v>1980</v>
      </c>
      <c r="L68">
        <f>L67+500</f>
        <v>20500</v>
      </c>
      <c r="M68">
        <v>0.25</v>
      </c>
      <c r="N68">
        <f t="shared" si="19"/>
        <v>34500</v>
      </c>
      <c r="O68">
        <v>0.25</v>
      </c>
      <c r="P68">
        <f t="shared" si="20"/>
        <v>40500</v>
      </c>
      <c r="Q68">
        <v>0.25</v>
      </c>
      <c r="R68">
        <v>0</v>
      </c>
      <c r="S68">
        <v>0</v>
      </c>
      <c r="T68">
        <f t="shared" si="21"/>
        <v>25500</v>
      </c>
      <c r="U68">
        <v>0.25</v>
      </c>
    </row>
    <row r="69" spans="3:21" x14ac:dyDescent="0.25">
      <c r="C69">
        <f t="shared" si="13"/>
        <v>255000</v>
      </c>
      <c r="D69">
        <f t="shared" si="12"/>
        <v>1080</v>
      </c>
      <c r="E69">
        <f t="shared" si="14"/>
        <v>408000</v>
      </c>
      <c r="F69">
        <f t="shared" si="15"/>
        <v>1680</v>
      </c>
      <c r="G69">
        <f t="shared" si="16"/>
        <v>510000</v>
      </c>
      <c r="H69">
        <f t="shared" si="17"/>
        <v>2160</v>
      </c>
      <c r="L69">
        <f>L68+500</f>
        <v>21000</v>
      </c>
      <c r="M69">
        <v>0.2</v>
      </c>
      <c r="N69">
        <f t="shared" si="19"/>
        <v>35000</v>
      </c>
      <c r="O69">
        <v>0.2</v>
      </c>
      <c r="P69">
        <f t="shared" si="20"/>
        <v>41000</v>
      </c>
      <c r="Q69">
        <v>0.2</v>
      </c>
      <c r="R69">
        <v>0</v>
      </c>
      <c r="S69">
        <v>0</v>
      </c>
      <c r="T69">
        <f t="shared" si="21"/>
        <v>26000</v>
      </c>
      <c r="U69">
        <v>0.2</v>
      </c>
    </row>
    <row r="70" spans="3:21" x14ac:dyDescent="0.25">
      <c r="C70">
        <f t="shared" si="13"/>
        <v>260000</v>
      </c>
      <c r="D70">
        <f t="shared" si="12"/>
        <v>1170</v>
      </c>
      <c r="E70">
        <f t="shared" si="14"/>
        <v>416000</v>
      </c>
      <c r="F70">
        <f t="shared" si="15"/>
        <v>1820</v>
      </c>
      <c r="G70">
        <f t="shared" si="16"/>
        <v>520000</v>
      </c>
      <c r="H70">
        <f t="shared" si="17"/>
        <v>2340</v>
      </c>
      <c r="L70">
        <f>L69+500</f>
        <v>21500</v>
      </c>
      <c r="M70">
        <v>0.149999999999999</v>
      </c>
      <c r="N70">
        <f t="shared" si="19"/>
        <v>35500</v>
      </c>
      <c r="O70">
        <v>0.149999999999999</v>
      </c>
      <c r="P70">
        <f t="shared" si="20"/>
        <v>41500</v>
      </c>
      <c r="Q70">
        <v>0.149999999999999</v>
      </c>
      <c r="R70">
        <v>0</v>
      </c>
      <c r="S70">
        <v>0</v>
      </c>
      <c r="T70">
        <f t="shared" si="21"/>
        <v>26500</v>
      </c>
      <c r="U70">
        <v>0.149999999999999</v>
      </c>
    </row>
    <row r="71" spans="3:21" x14ac:dyDescent="0.25">
      <c r="C71">
        <f t="shared" si="13"/>
        <v>265000</v>
      </c>
      <c r="D71">
        <f t="shared" si="12"/>
        <v>1260</v>
      </c>
      <c r="E71">
        <f t="shared" si="14"/>
        <v>424000</v>
      </c>
      <c r="F71">
        <f t="shared" si="15"/>
        <v>1960</v>
      </c>
      <c r="G71">
        <f t="shared" si="16"/>
        <v>530000</v>
      </c>
      <c r="H71">
        <f t="shared" si="17"/>
        <v>2520</v>
      </c>
      <c r="L71">
        <v>25000</v>
      </c>
      <c r="M71">
        <v>0.14000000000000001</v>
      </c>
      <c r="N71">
        <v>44000</v>
      </c>
      <c r="O71">
        <v>0.14000000000000001</v>
      </c>
      <c r="P71">
        <v>50000</v>
      </c>
      <c r="Q71">
        <v>0.14000000000000001</v>
      </c>
      <c r="R71">
        <v>0</v>
      </c>
      <c r="S71">
        <v>0</v>
      </c>
      <c r="T71">
        <v>31300</v>
      </c>
      <c r="U71">
        <v>0.14000000000000001</v>
      </c>
    </row>
    <row r="72" spans="3:21" x14ac:dyDescent="0.25">
      <c r="C72">
        <f t="shared" si="13"/>
        <v>270000</v>
      </c>
      <c r="D72">
        <f t="shared" si="12"/>
        <v>1350</v>
      </c>
      <c r="E72">
        <f t="shared" si="14"/>
        <v>432000</v>
      </c>
      <c r="F72">
        <f t="shared" si="15"/>
        <v>2100</v>
      </c>
      <c r="G72">
        <f t="shared" si="16"/>
        <v>540000</v>
      </c>
      <c r="H72">
        <f t="shared" si="17"/>
        <v>2700</v>
      </c>
      <c r="L72">
        <f>L71+500</f>
        <v>25500</v>
      </c>
      <c r="M72">
        <v>0.130000000000001</v>
      </c>
      <c r="N72">
        <f t="shared" si="19"/>
        <v>44500</v>
      </c>
      <c r="O72">
        <v>0.130000000000001</v>
      </c>
      <c r="P72">
        <f t="shared" si="20"/>
        <v>50500</v>
      </c>
      <c r="Q72">
        <v>0.130000000000001</v>
      </c>
      <c r="R72">
        <v>0</v>
      </c>
      <c r="S72">
        <v>0</v>
      </c>
      <c r="T72">
        <f t="shared" si="21"/>
        <v>31800</v>
      </c>
      <c r="U72">
        <v>0.130000000000001</v>
      </c>
    </row>
    <row r="73" spans="3:21" x14ac:dyDescent="0.25">
      <c r="C73">
        <f t="shared" si="13"/>
        <v>275000</v>
      </c>
      <c r="D73">
        <f t="shared" si="12"/>
        <v>1440</v>
      </c>
      <c r="E73">
        <f t="shared" si="14"/>
        <v>440000</v>
      </c>
      <c r="F73">
        <f t="shared" si="15"/>
        <v>2240</v>
      </c>
      <c r="G73">
        <f t="shared" si="16"/>
        <v>550000</v>
      </c>
      <c r="H73">
        <f t="shared" si="17"/>
        <v>2880</v>
      </c>
      <c r="L73">
        <f>L72+500</f>
        <v>26000</v>
      </c>
      <c r="M73">
        <v>0.12000000000000199</v>
      </c>
      <c r="N73">
        <f t="shared" si="19"/>
        <v>45000</v>
      </c>
      <c r="O73">
        <v>0.12000000000000199</v>
      </c>
      <c r="P73">
        <f t="shared" si="20"/>
        <v>51000</v>
      </c>
      <c r="Q73">
        <v>0.12000000000000199</v>
      </c>
      <c r="R73">
        <v>0</v>
      </c>
      <c r="S73">
        <v>0</v>
      </c>
      <c r="T73">
        <f t="shared" si="21"/>
        <v>32300</v>
      </c>
      <c r="U73">
        <v>0.12000000000000199</v>
      </c>
    </row>
    <row r="74" spans="3:21" x14ac:dyDescent="0.25">
      <c r="C74">
        <f t="shared" si="13"/>
        <v>280000</v>
      </c>
      <c r="D74">
        <f t="shared" si="12"/>
        <v>1530</v>
      </c>
      <c r="E74">
        <f t="shared" si="14"/>
        <v>448000</v>
      </c>
      <c r="F74">
        <f t="shared" si="15"/>
        <v>2380</v>
      </c>
      <c r="G74">
        <f t="shared" si="16"/>
        <v>560000</v>
      </c>
      <c r="H74">
        <f t="shared" si="17"/>
        <v>3060</v>
      </c>
      <c r="L74">
        <f>L73+500</f>
        <v>26500</v>
      </c>
      <c r="M74">
        <v>0.110000000000003</v>
      </c>
      <c r="N74">
        <f t="shared" si="19"/>
        <v>45500</v>
      </c>
      <c r="O74">
        <v>0.110000000000003</v>
      </c>
      <c r="P74">
        <f t="shared" si="20"/>
        <v>51500</v>
      </c>
      <c r="Q74">
        <v>0.110000000000003</v>
      </c>
      <c r="R74">
        <v>0</v>
      </c>
      <c r="S74">
        <v>0</v>
      </c>
      <c r="T74">
        <f t="shared" si="21"/>
        <v>32800</v>
      </c>
      <c r="U74">
        <v>0.110000000000003</v>
      </c>
    </row>
    <row r="75" spans="3:21" x14ac:dyDescent="0.25">
      <c r="C75">
        <f t="shared" si="13"/>
        <v>285000</v>
      </c>
      <c r="D75">
        <f t="shared" si="12"/>
        <v>1620</v>
      </c>
      <c r="E75">
        <f t="shared" si="14"/>
        <v>456000</v>
      </c>
      <c r="F75">
        <f t="shared" si="15"/>
        <v>2520</v>
      </c>
      <c r="G75">
        <f t="shared" si="16"/>
        <v>570000</v>
      </c>
      <c r="H75">
        <f t="shared" si="17"/>
        <v>3240</v>
      </c>
      <c r="L75">
        <f>L74+500</f>
        <v>27000</v>
      </c>
      <c r="M75">
        <v>0.100000000000004</v>
      </c>
      <c r="N75">
        <f t="shared" si="19"/>
        <v>46000</v>
      </c>
      <c r="O75">
        <v>0.100000000000004</v>
      </c>
      <c r="P75">
        <f t="shared" si="20"/>
        <v>52000</v>
      </c>
      <c r="Q75">
        <v>0.100000000000004</v>
      </c>
      <c r="R75">
        <v>0</v>
      </c>
      <c r="S75">
        <v>0</v>
      </c>
      <c r="T75">
        <f t="shared" si="21"/>
        <v>33300</v>
      </c>
      <c r="U75">
        <v>0.100000000000004</v>
      </c>
    </row>
    <row r="76" spans="3:21" x14ac:dyDescent="0.25">
      <c r="C76">
        <f t="shared" si="13"/>
        <v>290000</v>
      </c>
      <c r="D76">
        <f t="shared" si="12"/>
        <v>1710</v>
      </c>
      <c r="E76">
        <f t="shared" si="14"/>
        <v>464000</v>
      </c>
      <c r="F76">
        <f t="shared" si="15"/>
        <v>2660</v>
      </c>
      <c r="G76">
        <f t="shared" si="16"/>
        <v>580000</v>
      </c>
      <c r="H76">
        <f t="shared" si="17"/>
        <v>3420</v>
      </c>
      <c r="L76">
        <v>48000</v>
      </c>
      <c r="M76">
        <v>9.0000000000005104E-2</v>
      </c>
      <c r="N76">
        <v>74000</v>
      </c>
      <c r="O76">
        <v>9.0000000000005104E-2</v>
      </c>
      <c r="P76">
        <v>96000</v>
      </c>
      <c r="Q76">
        <v>9.0000000000005104E-2</v>
      </c>
      <c r="R76">
        <v>0</v>
      </c>
      <c r="S76">
        <v>0</v>
      </c>
      <c r="T76">
        <v>60000</v>
      </c>
      <c r="U76">
        <v>9.0000000000005104E-2</v>
      </c>
    </row>
    <row r="77" spans="3:21" x14ac:dyDescent="0.25">
      <c r="C77">
        <f t="shared" si="13"/>
        <v>295000</v>
      </c>
      <c r="D77">
        <f t="shared" si="12"/>
        <v>1800</v>
      </c>
      <c r="E77">
        <f t="shared" si="14"/>
        <v>472000</v>
      </c>
      <c r="F77">
        <f t="shared" si="15"/>
        <v>2800</v>
      </c>
      <c r="G77">
        <f t="shared" si="16"/>
        <v>590000</v>
      </c>
      <c r="H77">
        <f t="shared" si="17"/>
        <v>3600</v>
      </c>
      <c r="L77">
        <f>L76+500</f>
        <v>48500</v>
      </c>
      <c r="M77">
        <v>8.0000000000006094E-2</v>
      </c>
      <c r="N77">
        <f t="shared" si="19"/>
        <v>74500</v>
      </c>
      <c r="O77">
        <v>8.0000000000006094E-2</v>
      </c>
      <c r="P77">
        <f t="shared" si="20"/>
        <v>96500</v>
      </c>
      <c r="Q77">
        <v>8.0000000000006094E-2</v>
      </c>
      <c r="R77">
        <v>0</v>
      </c>
      <c r="S77">
        <v>0</v>
      </c>
      <c r="T77">
        <f t="shared" si="21"/>
        <v>60500</v>
      </c>
      <c r="U77">
        <v>8.0000000000006094E-2</v>
      </c>
    </row>
    <row r="78" spans="3:21" x14ac:dyDescent="0.25">
      <c r="C78">
        <f t="shared" si="13"/>
        <v>300000</v>
      </c>
      <c r="D78">
        <f t="shared" si="12"/>
        <v>1890</v>
      </c>
      <c r="E78">
        <f t="shared" si="14"/>
        <v>480000</v>
      </c>
      <c r="F78">
        <f t="shared" si="15"/>
        <v>2940</v>
      </c>
      <c r="G78">
        <f t="shared" si="16"/>
        <v>600000</v>
      </c>
      <c r="H78">
        <f t="shared" si="17"/>
        <v>3780</v>
      </c>
      <c r="L78">
        <f t="shared" ref="L78:L85" si="22">L77+500</f>
        <v>49000</v>
      </c>
      <c r="M78">
        <v>7.0000000000007098E-2</v>
      </c>
      <c r="N78">
        <f t="shared" si="19"/>
        <v>75000</v>
      </c>
      <c r="O78">
        <v>7.0000000000007098E-2</v>
      </c>
      <c r="P78">
        <f t="shared" si="20"/>
        <v>97000</v>
      </c>
      <c r="Q78">
        <v>7.0000000000007098E-2</v>
      </c>
      <c r="R78">
        <v>0</v>
      </c>
      <c r="S78">
        <v>0</v>
      </c>
      <c r="T78">
        <f t="shared" si="21"/>
        <v>61000</v>
      </c>
      <c r="U78">
        <v>7.0000000000007098E-2</v>
      </c>
    </row>
    <row r="79" spans="3:21" x14ac:dyDescent="0.25">
      <c r="C79">
        <f t="shared" si="13"/>
        <v>305000</v>
      </c>
      <c r="D79">
        <f t="shared" si="12"/>
        <v>1980</v>
      </c>
      <c r="E79">
        <f t="shared" si="14"/>
        <v>488000</v>
      </c>
      <c r="F79">
        <f t="shared" si="15"/>
        <v>3080</v>
      </c>
      <c r="G79">
        <f t="shared" si="16"/>
        <v>610000</v>
      </c>
      <c r="H79">
        <f t="shared" si="17"/>
        <v>3960</v>
      </c>
      <c r="L79">
        <f t="shared" si="22"/>
        <v>49500</v>
      </c>
      <c r="M79">
        <v>6.00000000000082E-2</v>
      </c>
      <c r="N79">
        <f t="shared" si="19"/>
        <v>75500</v>
      </c>
      <c r="O79">
        <v>6.00000000000082E-2</v>
      </c>
      <c r="P79">
        <f t="shared" si="20"/>
        <v>97500</v>
      </c>
      <c r="Q79">
        <v>6.00000000000082E-2</v>
      </c>
      <c r="R79">
        <v>0</v>
      </c>
      <c r="S79">
        <v>0</v>
      </c>
      <c r="T79">
        <f t="shared" si="21"/>
        <v>61500</v>
      </c>
      <c r="U79">
        <v>6.00000000000082E-2</v>
      </c>
    </row>
    <row r="80" spans="3:21" x14ac:dyDescent="0.25">
      <c r="C80">
        <f t="shared" si="13"/>
        <v>310000</v>
      </c>
      <c r="D80">
        <f t="shared" si="12"/>
        <v>2070</v>
      </c>
      <c r="E80">
        <f t="shared" si="14"/>
        <v>496000</v>
      </c>
      <c r="F80">
        <f t="shared" si="15"/>
        <v>3220</v>
      </c>
      <c r="G80">
        <f t="shared" si="16"/>
        <v>620000</v>
      </c>
      <c r="H80">
        <f t="shared" si="17"/>
        <v>4140</v>
      </c>
      <c r="L80">
        <f t="shared" si="22"/>
        <v>50000</v>
      </c>
      <c r="M80">
        <v>5.0000000000009197E-2</v>
      </c>
      <c r="N80">
        <f t="shared" si="19"/>
        <v>76000</v>
      </c>
      <c r="O80">
        <v>5.0000000000009197E-2</v>
      </c>
      <c r="P80">
        <f t="shared" si="20"/>
        <v>98000</v>
      </c>
      <c r="Q80">
        <v>5.0000000000009197E-2</v>
      </c>
      <c r="R80">
        <v>0</v>
      </c>
      <c r="S80">
        <v>0</v>
      </c>
      <c r="T80">
        <f t="shared" si="21"/>
        <v>62000</v>
      </c>
      <c r="U80">
        <v>5.0000000000009197E-2</v>
      </c>
    </row>
    <row r="81" spans="3:21" x14ac:dyDescent="0.25">
      <c r="C81">
        <f t="shared" si="13"/>
        <v>315000</v>
      </c>
      <c r="D81">
        <f t="shared" si="12"/>
        <v>2160</v>
      </c>
      <c r="E81">
        <f t="shared" si="14"/>
        <v>504000</v>
      </c>
      <c r="F81">
        <f t="shared" si="15"/>
        <v>3360</v>
      </c>
      <c r="G81">
        <f t="shared" si="16"/>
        <v>630000</v>
      </c>
      <c r="H81">
        <f t="shared" si="17"/>
        <v>4320</v>
      </c>
      <c r="L81">
        <f t="shared" si="22"/>
        <v>50500</v>
      </c>
      <c r="M81">
        <v>4.000000000001E-2</v>
      </c>
      <c r="N81">
        <f t="shared" si="19"/>
        <v>76500</v>
      </c>
      <c r="O81">
        <v>4.000000000001E-2</v>
      </c>
      <c r="P81">
        <f t="shared" si="20"/>
        <v>98500</v>
      </c>
      <c r="Q81">
        <v>4.000000000001E-2</v>
      </c>
      <c r="R81">
        <v>0</v>
      </c>
      <c r="S81">
        <v>0</v>
      </c>
      <c r="T81">
        <f t="shared" si="21"/>
        <v>62500</v>
      </c>
      <c r="U81">
        <v>4.000000000001E-2</v>
      </c>
    </row>
    <row r="82" spans="3:21" x14ac:dyDescent="0.25">
      <c r="C82">
        <f t="shared" si="13"/>
        <v>320000</v>
      </c>
      <c r="D82">
        <f t="shared" si="12"/>
        <v>2250</v>
      </c>
      <c r="E82">
        <f t="shared" si="14"/>
        <v>512000</v>
      </c>
      <c r="F82">
        <f t="shared" si="15"/>
        <v>3500</v>
      </c>
      <c r="G82">
        <f t="shared" si="16"/>
        <v>640000</v>
      </c>
      <c r="H82">
        <f t="shared" si="17"/>
        <v>4500</v>
      </c>
      <c r="L82">
        <f t="shared" si="22"/>
        <v>51000</v>
      </c>
      <c r="M82">
        <v>3.0000000000011001E-2</v>
      </c>
      <c r="N82">
        <f t="shared" si="19"/>
        <v>77000</v>
      </c>
      <c r="O82">
        <v>3.0000000000011001E-2</v>
      </c>
      <c r="P82">
        <f t="shared" si="20"/>
        <v>99000</v>
      </c>
      <c r="Q82">
        <v>3.0000000000011001E-2</v>
      </c>
      <c r="R82">
        <v>0</v>
      </c>
      <c r="S82">
        <v>0</v>
      </c>
      <c r="T82">
        <f t="shared" si="21"/>
        <v>63000</v>
      </c>
      <c r="U82">
        <v>3.0000000000011001E-2</v>
      </c>
    </row>
    <row r="83" spans="3:21" x14ac:dyDescent="0.25">
      <c r="C83">
        <f t="shared" si="13"/>
        <v>325000</v>
      </c>
      <c r="D83">
        <f t="shared" si="12"/>
        <v>2340</v>
      </c>
      <c r="E83">
        <f t="shared" si="14"/>
        <v>520000</v>
      </c>
      <c r="F83">
        <f t="shared" si="15"/>
        <v>3640</v>
      </c>
      <c r="G83">
        <f t="shared" si="16"/>
        <v>650000</v>
      </c>
      <c r="H83">
        <f t="shared" si="17"/>
        <v>4680</v>
      </c>
      <c r="L83">
        <f t="shared" si="22"/>
        <v>51500</v>
      </c>
      <c r="M83">
        <v>2.0000000000012001E-2</v>
      </c>
      <c r="N83">
        <f t="shared" si="19"/>
        <v>77500</v>
      </c>
      <c r="O83">
        <v>2.0000000000012001E-2</v>
      </c>
      <c r="P83">
        <f t="shared" si="20"/>
        <v>99500</v>
      </c>
      <c r="Q83">
        <v>2.0000000000012001E-2</v>
      </c>
      <c r="R83">
        <v>0</v>
      </c>
      <c r="S83">
        <v>0</v>
      </c>
      <c r="T83">
        <f t="shared" si="21"/>
        <v>63500</v>
      </c>
      <c r="U83">
        <v>2.0000000000012001E-2</v>
      </c>
    </row>
    <row r="84" spans="3:21" x14ac:dyDescent="0.25">
      <c r="C84">
        <f t="shared" si="13"/>
        <v>330000</v>
      </c>
      <c r="D84">
        <f t="shared" si="12"/>
        <v>2430</v>
      </c>
      <c r="E84">
        <f t="shared" si="14"/>
        <v>528000</v>
      </c>
      <c r="F84">
        <f t="shared" si="15"/>
        <v>3780</v>
      </c>
      <c r="G84">
        <f t="shared" si="16"/>
        <v>660000</v>
      </c>
      <c r="H84">
        <f t="shared" si="17"/>
        <v>4860</v>
      </c>
      <c r="L84">
        <f t="shared" si="22"/>
        <v>52000</v>
      </c>
      <c r="M84">
        <v>1.0000000000013E-2</v>
      </c>
      <c r="N84">
        <f t="shared" si="19"/>
        <v>78000</v>
      </c>
      <c r="O84">
        <v>1.0000000000013E-2</v>
      </c>
      <c r="P84">
        <f t="shared" si="20"/>
        <v>100000</v>
      </c>
      <c r="Q84">
        <v>1.0000000000013E-2</v>
      </c>
      <c r="R84">
        <v>0</v>
      </c>
      <c r="S84">
        <v>0</v>
      </c>
      <c r="T84">
        <f t="shared" si="21"/>
        <v>64000</v>
      </c>
      <c r="U84">
        <v>1.0000000000013E-2</v>
      </c>
    </row>
    <row r="85" spans="3:21" x14ac:dyDescent="0.25">
      <c r="C85">
        <f t="shared" si="13"/>
        <v>335000</v>
      </c>
      <c r="D85">
        <f t="shared" si="12"/>
        <v>2520</v>
      </c>
      <c r="E85">
        <f t="shared" si="14"/>
        <v>536000</v>
      </c>
      <c r="F85">
        <f t="shared" si="15"/>
        <v>3920</v>
      </c>
      <c r="G85">
        <f t="shared" si="16"/>
        <v>670000</v>
      </c>
      <c r="H85">
        <f t="shared" si="17"/>
        <v>5040</v>
      </c>
      <c r="L85">
        <f t="shared" si="22"/>
        <v>52500</v>
      </c>
      <c r="M85">
        <v>0</v>
      </c>
      <c r="N85">
        <f t="shared" si="19"/>
        <v>78500</v>
      </c>
      <c r="O85">
        <v>0</v>
      </c>
      <c r="P85">
        <f t="shared" si="20"/>
        <v>100500</v>
      </c>
      <c r="Q85">
        <v>0</v>
      </c>
      <c r="R85">
        <v>0</v>
      </c>
      <c r="S85">
        <v>0</v>
      </c>
      <c r="T85">
        <f>T84+500</f>
        <v>64500</v>
      </c>
      <c r="U85">
        <v>0</v>
      </c>
    </row>
    <row r="86" spans="3:21" x14ac:dyDescent="0.25">
      <c r="C86">
        <f t="shared" si="13"/>
        <v>340000</v>
      </c>
      <c r="D86">
        <f t="shared" si="12"/>
        <v>2610</v>
      </c>
      <c r="E86">
        <f t="shared" si="14"/>
        <v>544000</v>
      </c>
      <c r="F86">
        <f t="shared" si="15"/>
        <v>4060</v>
      </c>
      <c r="G86">
        <f t="shared" si="16"/>
        <v>680000</v>
      </c>
      <c r="H86">
        <f t="shared" si="17"/>
        <v>5220</v>
      </c>
    </row>
    <row r="87" spans="3:21" x14ac:dyDescent="0.25">
      <c r="C87">
        <f t="shared" si="13"/>
        <v>345000</v>
      </c>
      <c r="D87">
        <f t="shared" si="12"/>
        <v>2700</v>
      </c>
      <c r="E87">
        <f t="shared" si="14"/>
        <v>552000</v>
      </c>
      <c r="F87">
        <f t="shared" si="15"/>
        <v>4200</v>
      </c>
      <c r="G87">
        <f t="shared" si="16"/>
        <v>690000</v>
      </c>
      <c r="H87">
        <f t="shared" si="17"/>
        <v>5400</v>
      </c>
    </row>
    <row r="88" spans="3:21" x14ac:dyDescent="0.25">
      <c r="C88">
        <v>500000</v>
      </c>
      <c r="D88">
        <f>D87+50</f>
        <v>2750</v>
      </c>
      <c r="E88">
        <v>800000</v>
      </c>
      <c r="F88">
        <f>F87+80</f>
        <v>4280</v>
      </c>
      <c r="G88">
        <v>1000000</v>
      </c>
      <c r="H88">
        <f>H87+100</f>
        <v>5500</v>
      </c>
    </row>
    <row r="89" spans="3:21" x14ac:dyDescent="0.25">
      <c r="C89">
        <f t="shared" si="13"/>
        <v>505000</v>
      </c>
      <c r="D89">
        <f t="shared" ref="D89:D96" si="23">D88+50</f>
        <v>2800</v>
      </c>
      <c r="E89">
        <f>E88+8000</f>
        <v>808000</v>
      </c>
      <c r="F89">
        <f t="shared" ref="F89:F96" si="24">F88+80</f>
        <v>4360</v>
      </c>
      <c r="G89">
        <f>G88+10000</f>
        <v>1010000</v>
      </c>
      <c r="H89">
        <f t="shared" ref="H89:H96" si="25">H88+100</f>
        <v>5600</v>
      </c>
    </row>
    <row r="90" spans="3:21" x14ac:dyDescent="0.25">
      <c r="C90">
        <f t="shared" si="13"/>
        <v>510000</v>
      </c>
      <c r="D90">
        <f t="shared" si="23"/>
        <v>2850</v>
      </c>
      <c r="E90">
        <f t="shared" ref="E90:E96" si="26">E89+8000</f>
        <v>816000</v>
      </c>
      <c r="F90">
        <f t="shared" si="24"/>
        <v>4440</v>
      </c>
      <c r="G90">
        <f t="shared" ref="G90:G96" si="27">G89+10000</f>
        <v>1020000</v>
      </c>
      <c r="H90">
        <f t="shared" si="25"/>
        <v>5700</v>
      </c>
    </row>
    <row r="91" spans="3:21" x14ac:dyDescent="0.25">
      <c r="C91">
        <f t="shared" si="13"/>
        <v>515000</v>
      </c>
      <c r="D91">
        <f t="shared" si="23"/>
        <v>2900</v>
      </c>
      <c r="E91">
        <f t="shared" si="26"/>
        <v>824000</v>
      </c>
      <c r="F91">
        <f t="shared" si="24"/>
        <v>4520</v>
      </c>
      <c r="G91">
        <f t="shared" si="27"/>
        <v>1030000</v>
      </c>
      <c r="H91">
        <f t="shared" si="25"/>
        <v>5800</v>
      </c>
    </row>
    <row r="92" spans="3:21" x14ac:dyDescent="0.25">
      <c r="C92">
        <f t="shared" si="13"/>
        <v>520000</v>
      </c>
      <c r="D92">
        <f t="shared" si="23"/>
        <v>2950</v>
      </c>
      <c r="E92">
        <f t="shared" si="26"/>
        <v>832000</v>
      </c>
      <c r="F92">
        <f t="shared" si="24"/>
        <v>4600</v>
      </c>
      <c r="G92">
        <f t="shared" si="27"/>
        <v>1040000</v>
      </c>
      <c r="H92">
        <f t="shared" si="25"/>
        <v>5900</v>
      </c>
    </row>
    <row r="93" spans="3:21" x14ac:dyDescent="0.25">
      <c r="C93">
        <f t="shared" si="13"/>
        <v>525000</v>
      </c>
      <c r="D93">
        <f t="shared" si="23"/>
        <v>3000</v>
      </c>
      <c r="E93">
        <f t="shared" si="26"/>
        <v>840000</v>
      </c>
      <c r="F93">
        <f t="shared" si="24"/>
        <v>4680</v>
      </c>
      <c r="G93">
        <f t="shared" si="27"/>
        <v>1050000</v>
      </c>
      <c r="H93">
        <f t="shared" si="25"/>
        <v>6000</v>
      </c>
    </row>
    <row r="94" spans="3:21" x14ac:dyDescent="0.25">
      <c r="C94">
        <f t="shared" si="13"/>
        <v>530000</v>
      </c>
      <c r="D94">
        <f t="shared" si="23"/>
        <v>3050</v>
      </c>
      <c r="E94">
        <f t="shared" si="26"/>
        <v>848000</v>
      </c>
      <c r="F94">
        <f t="shared" si="24"/>
        <v>4760</v>
      </c>
      <c r="G94">
        <f t="shared" si="27"/>
        <v>1060000</v>
      </c>
      <c r="H94">
        <f t="shared" si="25"/>
        <v>6100</v>
      </c>
    </row>
    <row r="95" spans="3:21" x14ac:dyDescent="0.25">
      <c r="C95">
        <f t="shared" si="13"/>
        <v>535000</v>
      </c>
      <c r="D95">
        <f t="shared" si="23"/>
        <v>3100</v>
      </c>
      <c r="E95">
        <f t="shared" si="26"/>
        <v>856000</v>
      </c>
      <c r="F95">
        <f t="shared" si="24"/>
        <v>4840</v>
      </c>
      <c r="G95">
        <f t="shared" si="27"/>
        <v>1070000</v>
      </c>
      <c r="H95">
        <f t="shared" si="25"/>
        <v>6200</v>
      </c>
    </row>
    <row r="96" spans="3:21" x14ac:dyDescent="0.25">
      <c r="C96">
        <f t="shared" si="13"/>
        <v>540000</v>
      </c>
      <c r="D96">
        <f t="shared" si="23"/>
        <v>3150</v>
      </c>
      <c r="E96">
        <f t="shared" si="26"/>
        <v>864000</v>
      </c>
      <c r="F96">
        <f t="shared" si="24"/>
        <v>4920</v>
      </c>
      <c r="G96">
        <f t="shared" si="27"/>
        <v>1080000</v>
      </c>
      <c r="H96">
        <f t="shared" si="25"/>
        <v>6300</v>
      </c>
    </row>
  </sheetData>
  <mergeCells count="28">
    <mergeCell ref="C40:L40"/>
    <mergeCell ref="C55:J55"/>
    <mergeCell ref="L55:U55"/>
    <mergeCell ref="K41:L41"/>
    <mergeCell ref="C1:L1"/>
    <mergeCell ref="C30:D30"/>
    <mergeCell ref="E30:F30"/>
    <mergeCell ref="G30:H30"/>
    <mergeCell ref="C2:D2"/>
    <mergeCell ref="E2:F2"/>
    <mergeCell ref="G2:H2"/>
    <mergeCell ref="I2:J2"/>
    <mergeCell ref="K2:L2"/>
    <mergeCell ref="I30:J30"/>
    <mergeCell ref="C29:J29"/>
    <mergeCell ref="N56:O56"/>
    <mergeCell ref="P56:Q56"/>
    <mergeCell ref="R56:S56"/>
    <mergeCell ref="T56:U56"/>
    <mergeCell ref="C41:D41"/>
    <mergeCell ref="E41:F41"/>
    <mergeCell ref="G41:H41"/>
    <mergeCell ref="I41:J41"/>
    <mergeCell ref="I56:J56"/>
    <mergeCell ref="C56:D56"/>
    <mergeCell ref="E56:F56"/>
    <mergeCell ref="G56:H56"/>
    <mergeCell ref="L56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40</vt:i4>
      </vt:variant>
    </vt:vector>
  </HeadingPairs>
  <TitlesOfParts>
    <vt:vector size="43" baseType="lpstr">
      <vt:lpstr>Payroll</vt:lpstr>
      <vt:lpstr>Behind-Scene</vt:lpstr>
      <vt:lpstr>CT</vt:lpstr>
      <vt:lpstr>A_A</vt:lpstr>
      <vt:lpstr>A_B</vt:lpstr>
      <vt:lpstr>A_C</vt:lpstr>
      <vt:lpstr>A_D</vt:lpstr>
      <vt:lpstr>A_E</vt:lpstr>
      <vt:lpstr>A_F</vt:lpstr>
      <vt:lpstr>B_A</vt:lpstr>
      <vt:lpstr>B_B</vt:lpstr>
      <vt:lpstr>B_C</vt:lpstr>
      <vt:lpstr>B_D</vt:lpstr>
      <vt:lpstr>B_E</vt:lpstr>
      <vt:lpstr>B_F</vt:lpstr>
      <vt:lpstr>C_A</vt:lpstr>
      <vt:lpstr>C_B</vt:lpstr>
      <vt:lpstr>C_C</vt:lpstr>
      <vt:lpstr>C_D</vt:lpstr>
      <vt:lpstr>C_E</vt:lpstr>
      <vt:lpstr>C_F</vt:lpstr>
      <vt:lpstr>CT_code</vt:lpstr>
      <vt:lpstr>CT_percentage</vt:lpstr>
      <vt:lpstr>D_A</vt:lpstr>
      <vt:lpstr>D_B</vt:lpstr>
      <vt:lpstr>D_C</vt:lpstr>
      <vt:lpstr>D_D</vt:lpstr>
      <vt:lpstr>D_E</vt:lpstr>
      <vt:lpstr>D_F</vt:lpstr>
      <vt:lpstr>E_A</vt:lpstr>
      <vt:lpstr>E_B</vt:lpstr>
      <vt:lpstr>E_C</vt:lpstr>
      <vt:lpstr>E_D</vt:lpstr>
      <vt:lpstr>E_E</vt:lpstr>
      <vt:lpstr>E_F</vt:lpstr>
      <vt:lpstr>FilingStatus</vt:lpstr>
      <vt:lpstr>HeadofHousehold</vt:lpstr>
      <vt:lpstr>MarriedFilingJointly</vt:lpstr>
      <vt:lpstr>numPay</vt:lpstr>
      <vt:lpstr>Plus_Percentage</vt:lpstr>
      <vt:lpstr>SingleorMarriedFilingSeparately</vt:lpstr>
      <vt:lpstr>SSM</vt:lpstr>
      <vt:lpstr>StandardDeduction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2021-06-16T16:07:58Z</dcterms:modified>
</cp:coreProperties>
</file>